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00_GOBAN\___MOT체크리스트\MOT_체크리스트_최종본\"/>
    </mc:Choice>
  </mc:AlternateContent>
  <xr:revisionPtr revIDLastSave="0" documentId="8_{80E465C5-B851-4343-8BC8-A54EF5C2C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고반식당_MOT" sheetId="1" r:id="rId1"/>
    <sheet name="❌ 절대 금지 10계명" sheetId="2" r:id="rId2"/>
  </sheets>
  <definedNames>
    <definedName name="_xlnm._FilterDatabase" localSheetId="0" hidden="1">고반식당_MOT!$A$5:$I$5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H54" i="1"/>
  <c r="F54" i="1"/>
  <c r="A24" i="1"/>
  <c r="A25" i="1" s="1"/>
  <c r="A26" i="1" s="1"/>
  <c r="A29" i="1" l="1"/>
  <c r="A30" i="1" s="1"/>
  <c r="A31" i="1" s="1"/>
  <c r="A32" i="1" s="1"/>
  <c r="A33" i="1" s="1"/>
  <c r="A34" i="1" s="1"/>
  <c r="A35" i="1" s="1"/>
  <c r="A36" i="1" s="1"/>
  <c r="A41" i="1" l="1"/>
  <c r="A44" i="1" s="1"/>
  <c r="A50" i="1" l="1"/>
  <c r="A51" i="1" s="1"/>
  <c r="A52" i="1" s="1"/>
  <c r="A53" i="1" s="1"/>
</calcChain>
</file>

<file path=xl/sharedStrings.xml><?xml version="1.0" encoding="utf-8"?>
<sst xmlns="http://schemas.openxmlformats.org/spreadsheetml/2006/main" count="235" uniqueCount="134">
  <si>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</si>
  <si>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</si>
  <si>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</si>
  <si>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</si>
  <si>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</si>
  <si>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</si>
  <si>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</si>
  <si>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</si>
  <si>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</si>
  <si>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</si>
  <si>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</si>
  <si>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</si>
  <si>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</si>
  <si>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후식·식사메뉴 동시 주문 시 제공 타이밍을 확인하여 안내하는가?</t>
  </si>
  <si>
    <t>고객이 테블릿 주문에 어려움을 겪을 때 즉시 도움을 제공하는가?</t>
  </si>
  <si>
    <t>그릴링</t>
  </si>
  <si>
    <t>계산</t>
  </si>
  <si>
    <t>환송</t>
  </si>
  <si>
    <t>쿠폰·재방문 안내 등 재방문을 유도하는 행동을 하는가?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</si>
  <si>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</si>
  <si>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</si>
  <si>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</si>
  <si>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</si>
  <si>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</si>
  <si>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</si>
  <si>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</si>
  <si>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</si>
  <si>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</si>
  <si>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</si>
  <si>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체크 항목</t>
    <phoneticPr fontId="17" type="noConversion"/>
  </si>
  <si>
    <t>S</t>
  </si>
  <si>
    <t>S</t>
    <phoneticPr fontId="17" type="noConversion"/>
  </si>
  <si>
    <t>서빙</t>
  </si>
  <si>
    <t>서빙</t>
    <phoneticPr fontId="17" type="noConversion"/>
  </si>
  <si>
    <t>식사중</t>
  </si>
  <si>
    <t>식사중</t>
    <phoneticPr fontId="17" type="noConversion"/>
  </si>
  <si>
    <t>퇴식</t>
  </si>
  <si>
    <t>▶  입점</t>
    <phoneticPr fontId="17" type="noConversion"/>
  </si>
  <si>
    <t>▶  서빙</t>
    <phoneticPr fontId="17" type="noConversion"/>
  </si>
  <si>
    <t>▶  그릴링</t>
    <phoneticPr fontId="17" type="noConversion"/>
  </si>
  <si>
    <t>비고</t>
    <phoneticPr fontId="17" type="noConversion"/>
  </si>
  <si>
    <t>▶  주문</t>
    <phoneticPr fontId="17" type="noConversion"/>
  </si>
  <si>
    <t>▶  식사중</t>
    <phoneticPr fontId="17" type="noConversion"/>
  </si>
  <si>
    <t>추가 반찬은 셀프바를 이용해 주세요' 안내를 하는가?
(셀프바가 없는 경우, 추가 반찬이 필요하시면 직원을 불러주세요 멘트)</t>
    <phoneticPr fontId="17" type="noConversion"/>
  </si>
  <si>
    <t>그릴링 전/후 적절한 타이밍에 곁들임에 좋은 반찬·소스에 대해 설명하는가?</t>
    <phoneticPr fontId="17" type="noConversion"/>
  </si>
  <si>
    <t>▶  클레임 (발생 한 경우 체크 or 롤플레이 시행)</t>
    <phoneticPr fontId="17" type="noConversion"/>
  </si>
  <si>
    <t>테이블
오더</t>
    <phoneticPr fontId="17" type="noConversion"/>
  </si>
  <si>
    <t>고객 호출 시 즉시 반응하는가?</t>
    <phoneticPr fontId="17" type="noConversion"/>
  </si>
  <si>
    <t>▶  퇴식 (관찰 가능한 경우 체크)</t>
    <phoneticPr fontId="17" type="noConversion"/>
  </si>
  <si>
    <t>숯이 꺼진 테이블에 적절한 시점에 숯을 빼주는가?</t>
    <phoneticPr fontId="17" type="noConversion"/>
  </si>
  <si>
    <t>식사 중, "음식은 괜찮으세요?" 등 고객 만족 여부를 체크하는가?</t>
    <phoneticPr fontId="17" type="noConversion"/>
  </si>
  <si>
    <t>배점</t>
    <phoneticPr fontId="17" type="noConversion"/>
  </si>
  <si>
    <t>등 급 :    S  ·  A  ·  B  ·  C</t>
    <phoneticPr fontId="17" type="noConversion"/>
  </si>
  <si>
    <t>모든 항목은 현장에서 눈으로 즉시 확인 가능한 것만, 증빙 제시</t>
    <phoneticPr fontId="17" type="noConversion"/>
  </si>
  <si>
    <t>적절한 추천 메뉴(전략판매메뉴)가 상단에 위치해 있는가? 
(점심 : 점심특선, 저녁 : 신메뉴 등)</t>
    <phoneticPr fontId="17" type="noConversion"/>
  </si>
  <si>
    <t>물·반찬 리필을 고객 요청 전에 먼저 물어보는가?</t>
    <phoneticPr fontId="17" type="noConversion"/>
  </si>
  <si>
    <t>▶  계산 및 환송</t>
    <phoneticPr fontId="17" type="noConversion"/>
  </si>
  <si>
    <t>계산 시 '맛있게 드셨어요?' 라고 묻는가?</t>
    <phoneticPr fontId="17" type="noConversion"/>
  </si>
  <si>
    <t>'감사합니다. 또 오세요!' 환송 인사를 큰 소리로 하는가?</t>
    <phoneticPr fontId="17" type="noConversion"/>
  </si>
  <si>
    <t>숯 제공 시 '많이 뜨겁습니다. 조심하세요' 라고 안내하는가?</t>
    <phoneticPr fontId="17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</si>
  <si>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</si>
  <si>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</si>
  <si>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</si>
  <si>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</si>
  <si>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</si>
  <si>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</si>
  <si>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</si>
  <si>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</si>
  <si>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</si>
  <si>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</si>
  <si>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</si>
  <si>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</si>
  <si>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</si>
  <si>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</si>
  <si>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7" type="noConversion"/>
  </si>
  <si>
    <t>S(90%↑) / A(80~89%) / B(70~79%) / C(70%↓)</t>
    <phoneticPr fontId="17" type="noConversion"/>
  </si>
  <si>
    <t>인사 시 "밝은 표정(미소)"을 짓는가?</t>
    <phoneticPr fontId="17" type="noConversion"/>
  </si>
  <si>
    <t>대기 후 입장 시 '기다려 주셔서 감사합니다' 인사를 하는가?</t>
    <phoneticPr fontId="17" type="noConversion"/>
  </si>
  <si>
    <t>만석 시 '현재 만석이라 자리가 나는 대로 안내해 드리겠습니다' 라고 안내하는가?</t>
  </si>
  <si>
    <t>음식 나올 때 테이블에 던지듯 내려놓기</t>
    <phoneticPr fontId="17" type="noConversion"/>
  </si>
  <si>
    <t>불친절</t>
    <phoneticPr fontId="17" type="noConversion"/>
  </si>
  <si>
    <t>무응답</t>
    <phoneticPr fontId="17" type="noConversion"/>
  </si>
  <si>
    <t>감정행동</t>
    <phoneticPr fontId="17" type="noConversion"/>
  </si>
  <si>
    <t>서비스 강령</t>
    <phoneticPr fontId="17" type="noConversion"/>
  </si>
  <si>
    <t>고객 입장 즉시 '안녕하세요! 고반입니다!' 라고 "큰 소리"로 인사하는가?</t>
    <phoneticPr fontId="17" type="noConversion"/>
  </si>
  <si>
    <t>큰소리 기준 : 메아리 2명 이상 시 이행으로 판단</t>
    <phoneticPr fontId="17" type="noConversion"/>
  </si>
  <si>
    <t>밝은 미소 기준 : 치아가 보이는 미소</t>
    <phoneticPr fontId="17" type="noConversion"/>
  </si>
  <si>
    <t>만석 안내 기준 : 대기 장소, 대기 예상 시간 안내</t>
    <phoneticPr fontId="17" type="noConversion"/>
  </si>
  <si>
    <t>주문 안내 및 추천 메뉴(전략판매메뉴)를 제안하는가? 
(점심: 점심특선, 저녁: 신메뉴 등)</t>
    <phoneticPr fontId="17" type="noConversion"/>
  </si>
  <si>
    <t>메뉴(반찬포함) 제공 시 '실례하겠습니다' 멘트를 하는가?</t>
    <phoneticPr fontId="17" type="noConversion"/>
  </si>
  <si>
    <t>맛있게 고기를 드시는 법에 대해 안내하는가?
(내맘대로 조합 / 첫번째, 두번째, 세번째, 네번째 조합으로 앞접시에 제공)
(ex. 첫 고기 완성 후 '구운 천일염에 찍어 드시면 고기 본연의 맛을 느끼실 수 있습니다' )
(ex.명이나물+마늘소스+육장 조합 '완벽한 한 점' )</t>
    <phoneticPr fontId="17" type="noConversion"/>
  </si>
  <si>
    <t>고기 부위별 적정 익힘 정도를 설명하고, 고객이 별도로 원하는 익힘 정도가 있으면 맞춰서 그릴링 해드린다는 안내를 하는가? (ex. 삼겹살 90% 익힘, 목살 80% 익힘)</t>
    <phoneticPr fontId="17" type="noConversion"/>
  </si>
  <si>
    <t>그릴링 종료 후 불판을 닦아준 뒤 자리를 뜨는가?</t>
    <phoneticPr fontId="17" type="noConversion"/>
  </si>
  <si>
    <t>고객방치</t>
    <phoneticPr fontId="17" type="noConversion"/>
  </si>
  <si>
    <t>입점 시 인사나 안내 없이 고객 방치하기</t>
    <phoneticPr fontId="17" type="noConversion"/>
  </si>
  <si>
    <t>유니폼 입고 흡연하기</t>
    <phoneticPr fontId="17" type="noConversion"/>
  </si>
  <si>
    <t>고객 "앞"에서 직원 혼내기</t>
    <phoneticPr fontId="17" type="noConversion"/>
  </si>
  <si>
    <t>오픈 시간 영업준비 안되어 있기</t>
    <phoneticPr fontId="17" type="noConversion"/>
  </si>
  <si>
    <t>메뉴 인분수 강요하기</t>
    <phoneticPr fontId="17" type="noConversion"/>
  </si>
  <si>
    <t>MOT 7단계 (입점 → 주문 → 서빙 → 그릴링&amp;식사 → 계산 → 환송 → 퇴식)</t>
    <phoneticPr fontId="17" type="noConversion"/>
  </si>
  <si>
    <t xml:space="preserve">매 장 명 :                      점 검 일 :                   (      요일)       점 검 자 :                         </t>
    <phoneticPr fontId="17" type="noConversion"/>
  </si>
  <si>
    <t>직접주문 매장  [직접
주문]</t>
    <phoneticPr fontId="17" type="noConversion"/>
  </si>
  <si>
    <t>테이블오더 매장  [테이블
오더]</t>
    <phoneticPr fontId="17" type="noConversion"/>
  </si>
  <si>
    <t>폭  언</t>
    <phoneticPr fontId="17" type="noConversion"/>
  </si>
  <si>
    <t>책임전가</t>
    <phoneticPr fontId="17" type="noConversion"/>
  </si>
  <si>
    <t>감정 상태를 행동(그릇 소리·집게·카트 등)으로 고객에게 드러내기</t>
    <phoneticPr fontId="17" type="noConversion"/>
  </si>
  <si>
    <t>마감 시간 대, 고객 퇴점 전 청소 시작하기</t>
    <phoneticPr fontId="17" type="noConversion"/>
  </si>
  <si>
    <t>강  요</t>
    <phoneticPr fontId="17" type="noConversion"/>
  </si>
  <si>
    <t>오픈준수</t>
    <phoneticPr fontId="17" type="noConversion"/>
  </si>
  <si>
    <t>마감준수</t>
    <phoneticPr fontId="17" type="noConversion"/>
  </si>
  <si>
    <t>활용 방법</t>
    <phoneticPr fontId="17" type="noConversion"/>
  </si>
  <si>
    <t>경영주 포함 전 직원 개별 교육용 (수습 직원 - 수습 평가에 활용)</t>
    <phoneticPr fontId="17" type="noConversion"/>
  </si>
  <si>
    <t>Moment of Truth (고객이 브랜드를 직접 경험하는 접점 순간순간)</t>
    <phoneticPr fontId="17" type="noConversion"/>
  </si>
  <si>
    <t>아기 손님이 있을 때 아기 수저·포크·유아의자 필요여부를 먼저 제안하는가?</t>
    <phoneticPr fontId="17" type="noConversion"/>
  </si>
  <si>
    <t xml:space="preserve">뜨거운 음식 제공 시 '뜨거우니 조심하세요' 라고 안내하는가?
(ex.계란찜 등) </t>
    <phoneticPr fontId="17" type="noConversion"/>
  </si>
  <si>
    <t>구이용 곁들임(김치 필수)을 함께 타이밍에 맞게 그릴링 해주는가?
(ex.고기 기름이 충분히 흘러내릴 때, 불판에 올린다)</t>
    <phoneticPr fontId="17" type="noConversion"/>
  </si>
  <si>
    <t>돈치맛살 그릴링 시, 보통의 깍뚝썰기하는 형태의 타 항정살이 아닌 고반만의 슬라이스 컷팅 방식으로 아삭하고 쫄깃한 식감을 살리는, 마치 특양을 먹는 듯한 경험을 하실 수 있다는 것에 대한 설명을 하는가?</t>
    <phoneticPr fontId="17" type="noConversion"/>
  </si>
  <si>
    <t>고반 전용 불판크리너에 대해 설명 후 불판을 닦아주는가? 
(ex.플라스틱 물티슈가 아닌 전용으로 제작한 100% 천연펄프, 미세플라스틱 제로)</t>
    <phoneticPr fontId="17" type="noConversion"/>
  </si>
  <si>
    <t>퇴식시 메뉴얼에 맞는 행주 구분 사용 및 크린콜 등 적절한 세정제를 뿌리고 닦는가?</t>
    <phoneticPr fontId="17" type="noConversion"/>
  </si>
  <si>
    <t>6-1</t>
    <phoneticPr fontId="17" type="noConversion"/>
  </si>
  <si>
    <t>7-2</t>
    <phoneticPr fontId="17" type="noConversion"/>
  </si>
  <si>
    <t>8-2</t>
    <phoneticPr fontId="17" type="noConversion"/>
  </si>
  <si>
    <t>7-1</t>
    <phoneticPr fontId="17" type="noConversion"/>
  </si>
  <si>
    <t>8-1</t>
    <phoneticPr fontId="17" type="noConversion"/>
  </si>
  <si>
    <t>그릴링</t>
    <phoneticPr fontId="17" type="noConversion"/>
  </si>
  <si>
    <t>버싱 카트가 통로를 막지 않았는가?</t>
    <phoneticPr fontId="17" type="noConversion"/>
  </si>
  <si>
    <t>흰색·밝은색 옷 고객에게 먼저 앞치마 필요여부를 물어보는가?</t>
    <phoneticPr fontId="17" type="noConversion"/>
  </si>
  <si>
    <t>고반식당 통합 서비스 MOT 체크리스트 (35문항)</t>
    <phoneticPr fontId="17" type="noConversion"/>
  </si>
  <si>
    <t>고객 불편사항에 대해 즉시 사과하지 않기</t>
    <phoneticPr fontId="17" type="noConversion"/>
  </si>
  <si>
    <t>고객 요청에 대답 안하기 (실행 여부 관계 없이)</t>
    <phoneticPr fontId="17" type="noConversion"/>
  </si>
  <si>
    <r>
      <t xml:space="preserve">고기 제공 전 온도계로 불판 온도를 확인하는가?
</t>
    </r>
    <r>
      <rPr>
        <sz val="9"/>
        <color rgb="FFFF0000"/>
        <rFont val="맑은 고딕"/>
        <family val="3"/>
        <charset val="129"/>
      </rPr>
      <t>(★불판이 달궈지지 않은 상태에서 고기를 올리면? -5점)</t>
    </r>
    <phoneticPr fontId="17" type="noConversion"/>
  </si>
  <si>
    <t>점수 :                 /100점 (문항별 가중치 부여)</t>
    <phoneticPr fontId="17" type="noConversion"/>
  </si>
  <si>
    <t>※ 발생 체크 1건당 총점에서 5점 추가 감점 적용</t>
    <phoneticPr fontId="17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</si>
  <si>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본사점검  □ SV점검
주문 방식 : □ 직접주문  □ 테이블오더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</si>
</sst>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7B0D0D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04D4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right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6" fillId="3" borderId="1" xfId="0" quotePrefix="1" applyFont="1" applyFill="1" applyBorder="1" applyAlignment="1">
      <alignment horizontal="center" vertical="center" wrapText="1"/>
    </xf>
    <xf numFmtId="0" fontId="16" fillId="6" borderId="1" xfId="0" quotePrefix="1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left" vertical="center" wrapText="1"/>
    </xf>
    <xf numFmtId="0" fontId="14" fillId="18" borderId="15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left" vertical="center" wrapText="1"/>
    </xf>
    <xf numFmtId="0" fontId="26" fillId="19" borderId="15" xfId="0" applyFont="1" applyFill="1" applyBorder="1" applyAlignment="1">
      <alignment horizontal="left" vertical="center" wrapText="1"/>
    </xf>
    <xf numFmtId="0" fontId="27" fillId="19" borderId="15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6" fillId="3" borderId="19" xfId="0" quotePrefix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3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8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left" vertical="center" wrapText="1"/>
    </xf>
    <xf numFmtId="0" fontId="0" fillId="15" borderId="5" xfId="0" applyFill="1" applyBorder="1"/>
    <xf numFmtId="0" fontId="0" fillId="15" borderId="6" xfId="0" applyFill="1" applyBorder="1"/>
    <xf numFmtId="0" fontId="4" fillId="11" borderId="4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21" fillId="4" borderId="0" xfId="0" applyFont="1" applyFill="1" applyAlignment="1">
      <alignment horizontal="center" vertical="center" wrapText="1"/>
    </xf>
    <xf numFmtId="0" fontId="22" fillId="0" borderId="0" xfId="0" applyFont="1"/>
    <xf numFmtId="0" fontId="11" fillId="8" borderId="2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9" fillId="0" borderId="0" xfId="0" applyFont="1"/>
    <xf numFmtId="0" fontId="4" fillId="11" borderId="9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28" fillId="19" borderId="16" xfId="0" applyFont="1" applyFill="1" applyBorder="1" applyAlignment="1">
      <alignment horizontal="left" vertical="center" wrapText="1"/>
    </xf>
    <xf numFmtId="0" fontId="28" fillId="19" borderId="0" xfId="0" applyFont="1" applyFill="1" applyAlignment="1">
      <alignment horizontal="left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25" fillId="17" borderId="17" xfId="0" applyFont="1" applyFill="1" applyBorder="1" applyAlignment="1">
      <alignment horizontal="center" vertical="center" wrapText="1"/>
    </xf>
    <xf numFmtId="0" fontId="25" fillId="17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59"/>
  <sheetViews>
    <sheetView showGridLines="0" tabSelected="1" topLeftCell="A39" zoomScale="115" zoomScaleNormal="115" workbookViewId="0">
      <selection activeCell="A5" sqref="A5"/>
    </sheetView>
  </sheetViews>
  <sheetFormatPr defaultRowHeight="17.399999999999999" x14ac:dyDescent="0.4"/>
  <cols>
    <col min="1" max="1" width="5" customWidth="1"/>
    <col min="2" max="2" width="8.09765625" bestFit="1" customWidth="1"/>
    <col min="3" max="3" width="4.59765625" bestFit="1" customWidth="1"/>
    <col min="4" max="4" width="5.09765625" bestFit="1" customWidth="1"/>
    <col min="5" max="5" width="61.59765625" customWidth="1"/>
    <col min="6" max="7" width="5" customWidth="1"/>
    <col min="8" max="8" width="5.59765625" bestFit="1" customWidth="1"/>
    <col min="9" max="9" width="51.59765625" customWidth="1"/>
  </cols>
  <sheetData>
    <row r="1" spans="1:11" ht="33.9" customHeight="1" x14ac:dyDescent="0.4">
      <c r="A1" s="81" t="s">
        <v>127</v>
      </c>
      <c r="B1" s="82"/>
      <c r="C1" s="82"/>
      <c r="D1" s="82"/>
      <c r="E1" s="82"/>
      <c r="F1" s="82"/>
      <c r="G1" s="82"/>
      <c r="H1" s="82"/>
      <c r="I1" s="83"/>
      <c r="K1" t="s">
        <v>112</v>
      </c>
    </row>
    <row r="2" spans="1:11" ht="33.9" customHeight="1" x14ac:dyDescent="0.4">
      <c r="A2" s="78" t="s">
        <v>99</v>
      </c>
      <c r="B2" s="79"/>
      <c r="C2" s="79"/>
      <c r="D2" s="79"/>
      <c r="E2" s="79"/>
      <c r="F2" s="79"/>
      <c r="G2" s="79"/>
      <c r="H2" s="79"/>
      <c r="I2" s="80"/>
    </row>
    <row r="3" spans="1:11" ht="43.5" customHeight="1" x14ac:dyDescent="0.45">
      <c r="A3" s="77" t="s">
        <v>100</v>
      </c>
      <c r="B3" s="77"/>
      <c r="C3" s="77"/>
      <c r="D3" s="77"/>
      <c r="E3" s="77"/>
      <c r="F3" s="77"/>
      <c r="G3" s="84" t="s">
        <v>131</v>
      </c>
      <c r="H3" s="85"/>
      <c r="I3" s="85"/>
    </row>
    <row r="4" spans="1:11" ht="43.5" customHeight="1" x14ac:dyDescent="0.45">
      <c r="A4" s="87" t="s">
        <v>133</v>
      </c>
      <c r="B4" s="88"/>
      <c r="C4" s="88"/>
      <c r="D4" s="88"/>
      <c r="E4" s="88"/>
      <c r="F4" s="88"/>
      <c r="G4" s="84" t="s">
        <v>52</v>
      </c>
      <c r="H4" s="85"/>
      <c r="I4" s="85"/>
    </row>
    <row r="5" spans="1:11" ht="26.4" x14ac:dyDescent="0.4">
      <c r="A5" s="23" t="s">
        <v>0</v>
      </c>
      <c r="B5" s="24" t="s">
        <v>1</v>
      </c>
      <c r="C5" s="24" t="s">
        <v>2</v>
      </c>
      <c r="D5" s="24" t="s">
        <v>3</v>
      </c>
      <c r="E5" s="24" t="s">
        <v>29</v>
      </c>
      <c r="F5" s="24" t="s">
        <v>4</v>
      </c>
      <c r="G5" s="24" t="s">
        <v>5</v>
      </c>
      <c r="H5" s="24" t="s">
        <v>6</v>
      </c>
      <c r="I5" s="25" t="s">
        <v>40</v>
      </c>
    </row>
    <row r="6" spans="1:11" ht="27" customHeight="1" x14ac:dyDescent="0.4">
      <c r="A6" s="89" t="s">
        <v>37</v>
      </c>
      <c r="B6" s="90"/>
      <c r="C6" s="90"/>
      <c r="D6" s="90"/>
      <c r="E6" s="19" t="s">
        <v>51</v>
      </c>
      <c r="F6" s="20"/>
      <c r="G6" s="21"/>
      <c r="H6" s="21"/>
      <c r="I6" s="22"/>
    </row>
    <row r="7" spans="1:11" ht="33.9" customHeight="1" x14ac:dyDescent="0.4">
      <c r="A7" s="16">
        <v>1</v>
      </c>
      <c r="B7" s="17" t="s">
        <v>8</v>
      </c>
      <c r="C7" s="17" t="s">
        <v>31</v>
      </c>
      <c r="D7" s="13" t="s">
        <v>7</v>
      </c>
      <c r="E7" s="18" t="s">
        <v>84</v>
      </c>
      <c r="F7" s="17"/>
      <c r="G7" s="17">
        <v>-2</v>
      </c>
      <c r="H7" s="17">
        <v>-4</v>
      </c>
      <c r="I7" s="35" t="s">
        <v>85</v>
      </c>
    </row>
    <row r="8" spans="1:11" ht="33.9" customHeight="1" x14ac:dyDescent="0.4">
      <c r="A8" s="6">
        <v>2</v>
      </c>
      <c r="B8" s="7" t="s">
        <v>8</v>
      </c>
      <c r="C8" s="7" t="s">
        <v>30</v>
      </c>
      <c r="D8" s="3" t="s">
        <v>7</v>
      </c>
      <c r="E8" s="8" t="s">
        <v>9</v>
      </c>
      <c r="F8" s="7"/>
      <c r="G8" s="7">
        <v>-2</v>
      </c>
      <c r="H8" s="7">
        <v>-4</v>
      </c>
      <c r="I8" s="36"/>
    </row>
    <row r="9" spans="1:11" ht="33.9" customHeight="1" x14ac:dyDescent="0.4">
      <c r="A9" s="16">
        <v>3</v>
      </c>
      <c r="B9" s="17" t="s">
        <v>8</v>
      </c>
      <c r="C9" s="17" t="s">
        <v>31</v>
      </c>
      <c r="D9" s="13" t="s">
        <v>7</v>
      </c>
      <c r="E9" s="18" t="s">
        <v>76</v>
      </c>
      <c r="F9" s="17"/>
      <c r="G9" s="17">
        <v>-2</v>
      </c>
      <c r="H9" s="17">
        <v>-4</v>
      </c>
      <c r="I9" s="35" t="s">
        <v>86</v>
      </c>
    </row>
    <row r="10" spans="1:11" ht="33.9" customHeight="1" x14ac:dyDescent="0.4">
      <c r="A10" s="6">
        <v>4</v>
      </c>
      <c r="B10" s="7" t="s">
        <v>8</v>
      </c>
      <c r="C10" s="7" t="s">
        <v>31</v>
      </c>
      <c r="D10" s="3" t="s">
        <v>7</v>
      </c>
      <c r="E10" s="8" t="s">
        <v>78</v>
      </c>
      <c r="F10" s="7"/>
      <c r="G10" s="7">
        <v>-2</v>
      </c>
      <c r="H10" s="7">
        <v>-4</v>
      </c>
      <c r="I10" s="36" t="s">
        <v>87</v>
      </c>
    </row>
    <row r="11" spans="1:11" ht="33.9" customHeight="1" x14ac:dyDescent="0.4">
      <c r="A11" s="16">
        <v>5</v>
      </c>
      <c r="B11" s="17" t="s">
        <v>8</v>
      </c>
      <c r="C11" s="17" t="s">
        <v>31</v>
      </c>
      <c r="D11" s="13" t="s">
        <v>7</v>
      </c>
      <c r="E11" s="18" t="s">
        <v>77</v>
      </c>
      <c r="F11" s="17"/>
      <c r="G11" s="17">
        <v>-1</v>
      </c>
      <c r="H11" s="17">
        <v>-2</v>
      </c>
      <c r="I11" s="15"/>
    </row>
    <row r="12" spans="1:11" ht="18" customHeight="1" x14ac:dyDescent="0.4">
      <c r="A12" s="59" t="s">
        <v>41</v>
      </c>
      <c r="B12" s="60"/>
      <c r="C12" s="60"/>
      <c r="D12" s="60"/>
      <c r="E12" s="60"/>
      <c r="F12" s="60"/>
      <c r="G12" s="60"/>
      <c r="H12" s="60"/>
      <c r="I12" s="61"/>
    </row>
    <row r="13" spans="1:11" x14ac:dyDescent="0.4">
      <c r="A13" s="86" t="s">
        <v>101</v>
      </c>
      <c r="B13" s="76"/>
      <c r="C13" s="76"/>
      <c r="D13" s="76"/>
      <c r="E13" s="76"/>
      <c r="F13" s="76"/>
      <c r="G13" s="76"/>
      <c r="H13" s="76"/>
      <c r="I13" s="76"/>
    </row>
    <row r="14" spans="1:11" ht="33.9" customHeight="1" x14ac:dyDescent="0.4">
      <c r="A14" s="27" t="s">
        <v>119</v>
      </c>
      <c r="B14" s="2" t="s">
        <v>11</v>
      </c>
      <c r="C14" s="2" t="s">
        <v>30</v>
      </c>
      <c r="D14" s="9" t="s">
        <v>10</v>
      </c>
      <c r="E14" s="4" t="s">
        <v>88</v>
      </c>
      <c r="F14" s="2"/>
      <c r="G14" s="2">
        <v>-1</v>
      </c>
      <c r="H14" s="2">
        <v>-2</v>
      </c>
      <c r="I14" s="5"/>
    </row>
    <row r="15" spans="1:11" ht="33.9" customHeight="1" x14ac:dyDescent="0.4">
      <c r="A15" s="26" t="s">
        <v>122</v>
      </c>
      <c r="B15" s="7" t="s">
        <v>11</v>
      </c>
      <c r="C15" s="7" t="s">
        <v>30</v>
      </c>
      <c r="D15" s="9" t="s">
        <v>10</v>
      </c>
      <c r="E15" s="8" t="s">
        <v>12</v>
      </c>
      <c r="F15" s="7"/>
      <c r="G15" s="7">
        <v>-1</v>
      </c>
      <c r="H15" s="7">
        <v>-2</v>
      </c>
      <c r="I15" s="5"/>
    </row>
    <row r="16" spans="1:11" ht="33.9" customHeight="1" x14ac:dyDescent="0.4">
      <c r="A16" s="27" t="s">
        <v>123</v>
      </c>
      <c r="B16" s="2" t="s">
        <v>11</v>
      </c>
      <c r="C16" s="2" t="s">
        <v>30</v>
      </c>
      <c r="D16" s="9" t="s">
        <v>10</v>
      </c>
      <c r="E16" s="4" t="s">
        <v>13</v>
      </c>
      <c r="F16" s="2"/>
      <c r="G16" s="2">
        <v>-1</v>
      </c>
      <c r="H16" s="2">
        <v>-2</v>
      </c>
      <c r="I16" s="5"/>
    </row>
    <row r="17" spans="1:9" x14ac:dyDescent="0.4">
      <c r="A17" s="75" t="s">
        <v>102</v>
      </c>
      <c r="B17" s="76"/>
      <c r="C17" s="76"/>
      <c r="D17" s="76"/>
      <c r="E17" s="76"/>
      <c r="F17" s="76"/>
      <c r="G17" s="76"/>
      <c r="H17" s="76"/>
      <c r="I17" s="76"/>
    </row>
    <row r="18" spans="1:9" ht="33.9" customHeight="1" x14ac:dyDescent="0.4">
      <c r="A18" s="26" t="s">
        <v>119</v>
      </c>
      <c r="B18" s="7" t="s">
        <v>11</v>
      </c>
      <c r="C18" s="7" t="s">
        <v>30</v>
      </c>
      <c r="D18" s="10" t="s">
        <v>46</v>
      </c>
      <c r="E18" s="8" t="s">
        <v>14</v>
      </c>
      <c r="F18" s="7"/>
      <c r="G18" s="7">
        <v>-1</v>
      </c>
      <c r="H18" s="7">
        <v>-2</v>
      </c>
      <c r="I18" s="5"/>
    </row>
    <row r="19" spans="1:9" ht="33.9" customHeight="1" x14ac:dyDescent="0.4">
      <c r="A19" s="27" t="s">
        <v>120</v>
      </c>
      <c r="B19" s="2" t="s">
        <v>11</v>
      </c>
      <c r="C19" s="2" t="s">
        <v>30</v>
      </c>
      <c r="D19" s="10" t="s">
        <v>46</v>
      </c>
      <c r="E19" s="4" t="s">
        <v>13</v>
      </c>
      <c r="F19" s="2"/>
      <c r="G19" s="2">
        <v>-1</v>
      </c>
      <c r="H19" s="2">
        <v>-2</v>
      </c>
      <c r="I19" s="5"/>
    </row>
    <row r="20" spans="1:9" ht="33.9" customHeight="1" x14ac:dyDescent="0.4">
      <c r="A20" s="39" t="s">
        <v>121</v>
      </c>
      <c r="B20" s="40" t="s">
        <v>11</v>
      </c>
      <c r="C20" s="40" t="s">
        <v>30</v>
      </c>
      <c r="D20" s="41" t="s">
        <v>46</v>
      </c>
      <c r="E20" s="42" t="s">
        <v>54</v>
      </c>
      <c r="F20" s="40"/>
      <c r="G20" s="40">
        <v>-1</v>
      </c>
      <c r="H20" s="40">
        <v>-2</v>
      </c>
      <c r="I20" s="43"/>
    </row>
    <row r="21" spans="1:9" ht="33.9" customHeight="1" x14ac:dyDescent="0.4">
      <c r="A21" s="68" t="s">
        <v>38</v>
      </c>
      <c r="B21" s="60"/>
      <c r="C21" s="60"/>
      <c r="D21" s="60"/>
      <c r="E21" s="60"/>
      <c r="F21" s="60"/>
      <c r="G21" s="60"/>
      <c r="H21" s="60"/>
      <c r="I21" s="61"/>
    </row>
    <row r="22" spans="1:9" ht="33.9" customHeight="1" x14ac:dyDescent="0.4">
      <c r="A22" s="16">
        <v>9</v>
      </c>
      <c r="B22" s="17" t="s">
        <v>11</v>
      </c>
      <c r="C22" s="17" t="s">
        <v>31</v>
      </c>
      <c r="D22" s="13" t="s">
        <v>7</v>
      </c>
      <c r="E22" s="18" t="s">
        <v>113</v>
      </c>
      <c r="F22" s="17"/>
      <c r="G22" s="17">
        <v>-1</v>
      </c>
      <c r="H22" s="17">
        <v>-2</v>
      </c>
      <c r="I22" s="15"/>
    </row>
    <row r="23" spans="1:9" ht="33.9" customHeight="1" x14ac:dyDescent="0.4">
      <c r="A23" s="6">
        <v>10</v>
      </c>
      <c r="B23" s="7" t="s">
        <v>11</v>
      </c>
      <c r="C23" s="7" t="s">
        <v>30</v>
      </c>
      <c r="D23" s="3" t="s">
        <v>7</v>
      </c>
      <c r="E23" s="8" t="s">
        <v>126</v>
      </c>
      <c r="F23" s="7"/>
      <c r="G23" s="7">
        <v>-1</v>
      </c>
      <c r="H23" s="7">
        <v>-2</v>
      </c>
      <c r="I23" s="5"/>
    </row>
    <row r="24" spans="1:9" ht="33.9" customHeight="1" x14ac:dyDescent="0.4">
      <c r="A24" s="16">
        <f t="shared" ref="A24:A26" si="0">A23+1</f>
        <v>11</v>
      </c>
      <c r="B24" s="17" t="s">
        <v>33</v>
      </c>
      <c r="C24" s="17" t="s">
        <v>31</v>
      </c>
      <c r="D24" s="13" t="s">
        <v>7</v>
      </c>
      <c r="E24" s="18" t="s">
        <v>89</v>
      </c>
      <c r="F24" s="17"/>
      <c r="G24" s="17">
        <v>-2</v>
      </c>
      <c r="H24" s="17">
        <v>-4</v>
      </c>
      <c r="I24" s="15"/>
    </row>
    <row r="25" spans="1:9" ht="33.9" customHeight="1" x14ac:dyDescent="0.4">
      <c r="A25" s="6">
        <f t="shared" si="0"/>
        <v>12</v>
      </c>
      <c r="B25" s="7" t="s">
        <v>32</v>
      </c>
      <c r="C25" s="7" t="s">
        <v>31</v>
      </c>
      <c r="D25" s="3" t="s">
        <v>7</v>
      </c>
      <c r="E25" s="8" t="s">
        <v>114</v>
      </c>
      <c r="F25" s="7"/>
      <c r="G25" s="7">
        <v>-1</v>
      </c>
      <c r="H25" s="7">
        <v>-2</v>
      </c>
      <c r="I25" s="5"/>
    </row>
    <row r="26" spans="1:9" ht="33.9" customHeight="1" x14ac:dyDescent="0.4">
      <c r="A26" s="44">
        <f t="shared" si="0"/>
        <v>13</v>
      </c>
      <c r="B26" s="45" t="s">
        <v>32</v>
      </c>
      <c r="C26" s="45" t="s">
        <v>31</v>
      </c>
      <c r="D26" s="46" t="s">
        <v>7</v>
      </c>
      <c r="E26" s="47" t="s">
        <v>43</v>
      </c>
      <c r="F26" s="45"/>
      <c r="G26" s="45">
        <v>-1</v>
      </c>
      <c r="H26" s="45">
        <v>-2</v>
      </c>
      <c r="I26" s="48"/>
    </row>
    <row r="27" spans="1:9" ht="33.9" customHeight="1" x14ac:dyDescent="0.4">
      <c r="A27" s="74" t="s">
        <v>39</v>
      </c>
      <c r="B27" s="60"/>
      <c r="C27" s="60"/>
      <c r="D27" s="60"/>
      <c r="E27" s="60"/>
      <c r="F27" s="60"/>
      <c r="G27" s="60"/>
      <c r="H27" s="60"/>
      <c r="I27" s="61"/>
    </row>
    <row r="28" spans="1:9" ht="33.9" customHeight="1" x14ac:dyDescent="0.4">
      <c r="A28" s="16">
        <v>14</v>
      </c>
      <c r="B28" s="17" t="s">
        <v>124</v>
      </c>
      <c r="C28" s="17" t="s">
        <v>31</v>
      </c>
      <c r="D28" s="13" t="s">
        <v>7</v>
      </c>
      <c r="E28" s="18" t="s">
        <v>59</v>
      </c>
      <c r="F28" s="17"/>
      <c r="G28" s="17">
        <v>-2</v>
      </c>
      <c r="H28" s="17">
        <v>-4</v>
      </c>
      <c r="I28" s="15"/>
    </row>
    <row r="29" spans="1:9" ht="33.9" customHeight="1" x14ac:dyDescent="0.4">
      <c r="A29" s="6">
        <f t="shared" ref="A29:A36" si="1">A28+1</f>
        <v>15</v>
      </c>
      <c r="B29" s="7" t="s">
        <v>15</v>
      </c>
      <c r="C29" s="7" t="s">
        <v>31</v>
      </c>
      <c r="D29" s="3" t="s">
        <v>7</v>
      </c>
      <c r="E29" s="8" t="s">
        <v>130</v>
      </c>
      <c r="F29" s="7"/>
      <c r="G29" s="7">
        <v>-2</v>
      </c>
      <c r="H29" s="7">
        <v>-4</v>
      </c>
      <c r="I29" s="5"/>
    </row>
    <row r="30" spans="1:9" ht="33.9" customHeight="1" x14ac:dyDescent="0.4">
      <c r="A30" s="16">
        <f t="shared" si="1"/>
        <v>16</v>
      </c>
      <c r="B30" s="17" t="s">
        <v>124</v>
      </c>
      <c r="C30" s="17" t="s">
        <v>31</v>
      </c>
      <c r="D30" s="13" t="s">
        <v>7</v>
      </c>
      <c r="E30" s="18" t="s">
        <v>44</v>
      </c>
      <c r="F30" s="17"/>
      <c r="G30" s="17">
        <v>-2</v>
      </c>
      <c r="H30" s="17">
        <v>-4</v>
      </c>
      <c r="I30" s="15"/>
    </row>
    <row r="31" spans="1:9" ht="33.9" customHeight="1" x14ac:dyDescent="0.4">
      <c r="A31" s="6">
        <f t="shared" si="1"/>
        <v>17</v>
      </c>
      <c r="B31" s="7" t="s">
        <v>15</v>
      </c>
      <c r="C31" s="7" t="s">
        <v>31</v>
      </c>
      <c r="D31" s="3" t="s">
        <v>7</v>
      </c>
      <c r="E31" s="8" t="s">
        <v>91</v>
      </c>
      <c r="F31" s="7"/>
      <c r="G31" s="7">
        <v>-2</v>
      </c>
      <c r="H31" s="7">
        <v>-4</v>
      </c>
      <c r="I31" s="5"/>
    </row>
    <row r="32" spans="1:9" ht="33.9" customHeight="1" x14ac:dyDescent="0.4">
      <c r="A32" s="16">
        <f t="shared" si="1"/>
        <v>18</v>
      </c>
      <c r="B32" s="17" t="s">
        <v>124</v>
      </c>
      <c r="C32" s="17" t="s">
        <v>31</v>
      </c>
      <c r="D32" s="13" t="s">
        <v>7</v>
      </c>
      <c r="E32" s="54" t="s">
        <v>115</v>
      </c>
      <c r="F32" s="17"/>
      <c r="G32" s="17">
        <v>-2</v>
      </c>
      <c r="H32" s="17">
        <v>-4</v>
      </c>
      <c r="I32" s="15"/>
    </row>
    <row r="33" spans="1:9" ht="56.4" customHeight="1" x14ac:dyDescent="0.4">
      <c r="A33" s="6">
        <f t="shared" si="1"/>
        <v>19</v>
      </c>
      <c r="B33" s="7" t="s">
        <v>15</v>
      </c>
      <c r="C33" s="7" t="s">
        <v>31</v>
      </c>
      <c r="D33" s="3" t="s">
        <v>7</v>
      </c>
      <c r="E33" s="53" t="s">
        <v>90</v>
      </c>
      <c r="F33" s="7"/>
      <c r="G33" s="7">
        <v>-2</v>
      </c>
      <c r="H33" s="7">
        <v>-4</v>
      </c>
      <c r="I33" s="55"/>
    </row>
    <row r="34" spans="1:9" ht="49.65" customHeight="1" x14ac:dyDescent="0.4">
      <c r="A34" s="16">
        <f t="shared" si="1"/>
        <v>20</v>
      </c>
      <c r="B34" s="17" t="s">
        <v>124</v>
      </c>
      <c r="C34" s="17" t="s">
        <v>31</v>
      </c>
      <c r="D34" s="13" t="s">
        <v>7</v>
      </c>
      <c r="E34" s="54" t="s">
        <v>116</v>
      </c>
      <c r="F34" s="17"/>
      <c r="G34" s="17">
        <v>-2</v>
      </c>
      <c r="H34" s="17">
        <v>-4</v>
      </c>
      <c r="I34" s="15"/>
    </row>
    <row r="35" spans="1:9" ht="33.9" customHeight="1" x14ac:dyDescent="0.4">
      <c r="A35" s="6">
        <f t="shared" si="1"/>
        <v>21</v>
      </c>
      <c r="B35" s="7" t="s">
        <v>15</v>
      </c>
      <c r="C35" s="7" t="s">
        <v>31</v>
      </c>
      <c r="D35" s="3" t="s">
        <v>7</v>
      </c>
      <c r="E35" s="8" t="s">
        <v>117</v>
      </c>
      <c r="F35" s="7"/>
      <c r="G35" s="7">
        <v>-2</v>
      </c>
      <c r="H35" s="7">
        <v>-4</v>
      </c>
      <c r="I35" s="5"/>
    </row>
    <row r="36" spans="1:9" ht="33.9" customHeight="1" x14ac:dyDescent="0.4">
      <c r="A36" s="16">
        <f t="shared" si="1"/>
        <v>22</v>
      </c>
      <c r="B36" s="17" t="s">
        <v>124</v>
      </c>
      <c r="C36" s="17" t="s">
        <v>31</v>
      </c>
      <c r="D36" s="13" t="s">
        <v>7</v>
      </c>
      <c r="E36" s="18" t="s">
        <v>92</v>
      </c>
      <c r="F36" s="17"/>
      <c r="G36" s="17">
        <v>-2</v>
      </c>
      <c r="H36" s="17">
        <v>-4</v>
      </c>
      <c r="I36" s="15"/>
    </row>
    <row r="37" spans="1:9" ht="33.9" customHeight="1" x14ac:dyDescent="0.4">
      <c r="A37" s="70" t="s">
        <v>42</v>
      </c>
      <c r="B37" s="60"/>
      <c r="C37" s="60"/>
      <c r="D37" s="60"/>
      <c r="E37" s="60"/>
      <c r="F37" s="60"/>
      <c r="G37" s="60"/>
      <c r="H37" s="60"/>
      <c r="I37" s="61"/>
    </row>
    <row r="38" spans="1:9" ht="33.9" customHeight="1" x14ac:dyDescent="0.4">
      <c r="A38" s="1">
        <v>23</v>
      </c>
      <c r="B38" s="2" t="s">
        <v>34</v>
      </c>
      <c r="C38" s="2" t="s">
        <v>31</v>
      </c>
      <c r="D38" s="3" t="s">
        <v>7</v>
      </c>
      <c r="E38" s="4" t="s">
        <v>50</v>
      </c>
      <c r="F38" s="2"/>
      <c r="G38" s="2">
        <v>-1</v>
      </c>
      <c r="H38" s="2">
        <v>-2</v>
      </c>
      <c r="I38" s="5"/>
    </row>
    <row r="39" spans="1:9" ht="33.9" customHeight="1" x14ac:dyDescent="0.4">
      <c r="A39" s="6">
        <v>24</v>
      </c>
      <c r="B39" s="7" t="s">
        <v>34</v>
      </c>
      <c r="C39" s="7" t="s">
        <v>31</v>
      </c>
      <c r="D39" s="3" t="s">
        <v>7</v>
      </c>
      <c r="E39" s="8" t="s">
        <v>47</v>
      </c>
      <c r="F39" s="7"/>
      <c r="G39" s="7">
        <v>-1</v>
      </c>
      <c r="H39" s="7">
        <v>-2</v>
      </c>
      <c r="I39" s="5"/>
    </row>
    <row r="40" spans="1:9" ht="33.9" customHeight="1" x14ac:dyDescent="0.4">
      <c r="A40" s="1">
        <v>25</v>
      </c>
      <c r="B40" s="2" t="s">
        <v>35</v>
      </c>
      <c r="C40" s="2" t="s">
        <v>31</v>
      </c>
      <c r="D40" s="3" t="s">
        <v>7</v>
      </c>
      <c r="E40" s="4" t="s">
        <v>55</v>
      </c>
      <c r="F40" s="2"/>
      <c r="G40" s="2">
        <v>-1</v>
      </c>
      <c r="H40" s="2">
        <v>-2</v>
      </c>
      <c r="I40" s="5"/>
    </row>
    <row r="41" spans="1:9" ht="33.9" customHeight="1" x14ac:dyDescent="0.4">
      <c r="A41" s="6">
        <f>A40+1</f>
        <v>26</v>
      </c>
      <c r="B41" s="7" t="s">
        <v>34</v>
      </c>
      <c r="C41" s="7" t="s">
        <v>31</v>
      </c>
      <c r="D41" s="3" t="s">
        <v>7</v>
      </c>
      <c r="E41" s="8" t="s">
        <v>49</v>
      </c>
      <c r="F41" s="7"/>
      <c r="G41" s="7">
        <v>-1</v>
      </c>
      <c r="H41" s="7">
        <v>-2</v>
      </c>
      <c r="I41" s="5"/>
    </row>
    <row r="42" spans="1:9" ht="33.9" customHeight="1" x14ac:dyDescent="0.4">
      <c r="A42" s="68" t="s">
        <v>56</v>
      </c>
      <c r="B42" s="60"/>
      <c r="C42" s="60"/>
      <c r="D42" s="60"/>
      <c r="E42" s="60"/>
      <c r="F42" s="60"/>
      <c r="G42" s="60"/>
      <c r="H42" s="60"/>
      <c r="I42" s="61"/>
    </row>
    <row r="43" spans="1:9" ht="33.9" customHeight="1" x14ac:dyDescent="0.4">
      <c r="A43" s="1">
        <v>27</v>
      </c>
      <c r="B43" s="2" t="s">
        <v>16</v>
      </c>
      <c r="C43" s="2" t="s">
        <v>31</v>
      </c>
      <c r="D43" s="3" t="s">
        <v>7</v>
      </c>
      <c r="E43" s="4" t="s">
        <v>57</v>
      </c>
      <c r="F43" s="2"/>
      <c r="G43" s="2">
        <v>-1</v>
      </c>
      <c r="H43" s="2">
        <v>-2</v>
      </c>
      <c r="I43" s="5"/>
    </row>
    <row r="44" spans="1:9" ht="33.9" customHeight="1" x14ac:dyDescent="0.4">
      <c r="A44" s="6">
        <f>A43+1</f>
        <v>28</v>
      </c>
      <c r="B44" s="7" t="s">
        <v>16</v>
      </c>
      <c r="C44" s="7" t="s">
        <v>31</v>
      </c>
      <c r="D44" s="3" t="s">
        <v>7</v>
      </c>
      <c r="E44" s="8" t="s">
        <v>18</v>
      </c>
      <c r="F44" s="7"/>
      <c r="G44" s="7">
        <v>-1</v>
      </c>
      <c r="H44" s="7">
        <v>-2</v>
      </c>
      <c r="I44" s="5"/>
    </row>
    <row r="45" spans="1:9" ht="33.9" customHeight="1" x14ac:dyDescent="0.4">
      <c r="A45" s="1">
        <v>29</v>
      </c>
      <c r="B45" s="2" t="s">
        <v>17</v>
      </c>
      <c r="C45" s="2" t="s">
        <v>31</v>
      </c>
      <c r="D45" s="3" t="s">
        <v>7</v>
      </c>
      <c r="E45" s="4" t="s">
        <v>58</v>
      </c>
      <c r="F45" s="2"/>
      <c r="G45" s="2">
        <v>-2</v>
      </c>
      <c r="H45" s="2">
        <v>-4</v>
      </c>
      <c r="I45" s="55" t="s">
        <v>85</v>
      </c>
    </row>
    <row r="46" spans="1:9" ht="33.9" customHeight="1" x14ac:dyDescent="0.4">
      <c r="A46" s="71" t="s">
        <v>48</v>
      </c>
      <c r="B46" s="60"/>
      <c r="C46" s="60"/>
      <c r="D46" s="60"/>
      <c r="E46" s="60"/>
      <c r="F46" s="60"/>
      <c r="G46" s="60"/>
      <c r="H46" s="60"/>
      <c r="I46" s="61"/>
    </row>
    <row r="47" spans="1:9" ht="33.9" customHeight="1" x14ac:dyDescent="0.4">
      <c r="A47" s="6">
        <v>30</v>
      </c>
      <c r="B47" s="7" t="s">
        <v>36</v>
      </c>
      <c r="C47" s="7" t="s">
        <v>31</v>
      </c>
      <c r="D47" s="3" t="s">
        <v>7</v>
      </c>
      <c r="E47" s="8" t="s">
        <v>118</v>
      </c>
      <c r="F47" s="7"/>
      <c r="G47" s="7">
        <v>-1</v>
      </c>
      <c r="H47" s="7">
        <v>-2</v>
      </c>
      <c r="I47" s="5"/>
    </row>
    <row r="48" spans="1:9" ht="33.9" customHeight="1" x14ac:dyDescent="0.4">
      <c r="A48" s="49">
        <v>31</v>
      </c>
      <c r="B48" s="50" t="s">
        <v>36</v>
      </c>
      <c r="C48" s="50" t="s">
        <v>31</v>
      </c>
      <c r="D48" s="51" t="s">
        <v>7</v>
      </c>
      <c r="E48" s="52" t="s">
        <v>125</v>
      </c>
      <c r="F48" s="50"/>
      <c r="G48" s="50">
        <v>-1</v>
      </c>
      <c r="H48" s="50">
        <v>-2</v>
      </c>
      <c r="I48" s="43"/>
    </row>
    <row r="49" spans="1:9" ht="33.9" customHeight="1" x14ac:dyDescent="0.4">
      <c r="A49" s="65" t="s">
        <v>45</v>
      </c>
      <c r="B49" s="66"/>
      <c r="C49" s="66"/>
      <c r="D49" s="66"/>
      <c r="E49" s="66"/>
      <c r="F49" s="66"/>
      <c r="G49" s="66"/>
      <c r="H49" s="66"/>
      <c r="I49" s="67"/>
    </row>
    <row r="50" spans="1:9" ht="33.9" customHeight="1" x14ac:dyDescent="0.4">
      <c r="A50" s="11">
        <f>A48+1</f>
        <v>32</v>
      </c>
      <c r="B50" s="12" t="s">
        <v>19</v>
      </c>
      <c r="C50" s="12" t="s">
        <v>30</v>
      </c>
      <c r="D50" s="13" t="s">
        <v>7</v>
      </c>
      <c r="E50" s="14" t="s">
        <v>20</v>
      </c>
      <c r="F50" s="12"/>
      <c r="G50" s="12">
        <v>-1</v>
      </c>
      <c r="H50" s="12">
        <v>-2</v>
      </c>
      <c r="I50" s="15"/>
    </row>
    <row r="51" spans="1:9" ht="33.9" customHeight="1" x14ac:dyDescent="0.4">
      <c r="A51" s="1">
        <f>A50+1</f>
        <v>33</v>
      </c>
      <c r="B51" s="2" t="s">
        <v>19</v>
      </c>
      <c r="C51" s="2" t="s">
        <v>30</v>
      </c>
      <c r="D51" s="3" t="s">
        <v>7</v>
      </c>
      <c r="E51" s="4" t="s">
        <v>21</v>
      </c>
      <c r="F51" s="2"/>
      <c r="G51" s="2">
        <v>-1</v>
      </c>
      <c r="H51" s="2">
        <v>-2</v>
      </c>
      <c r="I51" s="5"/>
    </row>
    <row r="52" spans="1:9" ht="33.9" customHeight="1" x14ac:dyDescent="0.4">
      <c r="A52" s="11">
        <f>A51+1</f>
        <v>34</v>
      </c>
      <c r="B52" s="7" t="s">
        <v>19</v>
      </c>
      <c r="C52" s="7" t="s">
        <v>30</v>
      </c>
      <c r="D52" s="3" t="s">
        <v>7</v>
      </c>
      <c r="E52" s="8" t="s">
        <v>22</v>
      </c>
      <c r="F52" s="7"/>
      <c r="G52" s="7">
        <v>-1</v>
      </c>
      <c r="H52" s="7">
        <v>-2</v>
      </c>
      <c r="I52" s="5"/>
    </row>
    <row r="53" spans="1:9" ht="33.9" customHeight="1" x14ac:dyDescent="0.4">
      <c r="A53" s="1">
        <f>A52+1</f>
        <v>35</v>
      </c>
      <c r="B53" s="2" t="s">
        <v>19</v>
      </c>
      <c r="C53" s="2" t="s">
        <v>30</v>
      </c>
      <c r="D53" s="3" t="s">
        <v>7</v>
      </c>
      <c r="E53" s="4" t="s">
        <v>23</v>
      </c>
      <c r="F53" s="2"/>
      <c r="G53" s="2">
        <v>-1</v>
      </c>
      <c r="H53" s="2">
        <v>-2</v>
      </c>
      <c r="I53" s="5"/>
    </row>
    <row r="54" spans="1:9" ht="17.399999999999999" customHeight="1" x14ac:dyDescent="0.4">
      <c r="A54" s="72" t="s">
        <v>24</v>
      </c>
      <c r="B54" s="73"/>
      <c r="C54" s="73"/>
      <c r="D54" s="73"/>
      <c r="E54" s="73"/>
      <c r="F54" s="37">
        <f>SUM(F50:F53,F47:F48,F43:F45,F38:F41,F28:F36,F22:F26,F18:F20,F14:F16,F7:F11)</f>
        <v>0</v>
      </c>
      <c r="G54" s="37">
        <f>SUM(G50:G53,G47:G48,G43:G45,G38:G41,G28:G36,G22:G26,G18:G20,G14:G16,G7:G11)</f>
        <v>-53</v>
      </c>
      <c r="H54" s="37">
        <f>SUM(H50:H53,H47:H48,H43:H45,H38:H41,H28:H36,H22:H26,H18:H20,H14:H16,H7:H11)</f>
        <v>-106</v>
      </c>
      <c r="I54" s="38"/>
    </row>
    <row r="55" spans="1:9" ht="20.100000000000001" customHeight="1" x14ac:dyDescent="0.4"/>
    <row r="56" spans="1:9" ht="20.100000000000001" customHeight="1" x14ac:dyDescent="0.4">
      <c r="A56" s="64" t="s">
        <v>25</v>
      </c>
      <c r="B56" s="57"/>
      <c r="C56" s="69" t="s">
        <v>75</v>
      </c>
      <c r="D56" s="57"/>
      <c r="E56" s="57"/>
      <c r="F56" s="57"/>
      <c r="G56" s="57"/>
      <c r="H56" s="57"/>
      <c r="I56" s="57"/>
    </row>
    <row r="57" spans="1:9" ht="20.100000000000001" customHeight="1" x14ac:dyDescent="0.4">
      <c r="A57" s="62" t="s">
        <v>26</v>
      </c>
      <c r="B57" s="57"/>
      <c r="C57" s="63" t="s">
        <v>27</v>
      </c>
      <c r="D57" s="57"/>
      <c r="E57" s="57"/>
      <c r="F57" s="57"/>
      <c r="G57" s="57"/>
      <c r="H57" s="57"/>
      <c r="I57" s="57"/>
    </row>
    <row r="58" spans="1:9" x14ac:dyDescent="0.4">
      <c r="A58" s="56" t="s">
        <v>28</v>
      </c>
      <c r="B58" s="57"/>
      <c r="C58" s="58" t="s">
        <v>53</v>
      </c>
      <c r="D58" s="57"/>
      <c r="E58" s="57"/>
      <c r="F58" s="57"/>
      <c r="G58" s="57"/>
      <c r="H58" s="57"/>
      <c r="I58" s="57"/>
    </row>
    <row r="59" spans="1:9" x14ac:dyDescent="0.4">
      <c r="A59" s="56" t="s">
        <v>110</v>
      </c>
      <c r="B59" s="57"/>
      <c r="C59" s="58" t="s">
        <v>111</v>
      </c>
      <c r="D59" s="57"/>
      <c r="E59" s="57"/>
      <c r="F59" s="57"/>
      <c r="G59" s="57"/>
      <c r="H59" s="57"/>
      <c r="I59" s="57"/>
    </row>
  </sheetData>
  <mergeCells count="25">
    <mergeCell ref="A17:I17"/>
    <mergeCell ref="A3:F3"/>
    <mergeCell ref="A2:I2"/>
    <mergeCell ref="A1:I1"/>
    <mergeCell ref="G3:I3"/>
    <mergeCell ref="A13:I13"/>
    <mergeCell ref="A4:F4"/>
    <mergeCell ref="G4:I4"/>
    <mergeCell ref="A6:D6"/>
    <mergeCell ref="A59:B59"/>
    <mergeCell ref="C59:I59"/>
    <mergeCell ref="C58:I58"/>
    <mergeCell ref="A12:I12"/>
    <mergeCell ref="A58:B58"/>
    <mergeCell ref="A57:B57"/>
    <mergeCell ref="C57:I57"/>
    <mergeCell ref="A56:B56"/>
    <mergeCell ref="A49:I49"/>
    <mergeCell ref="A42:I42"/>
    <mergeCell ref="A21:I21"/>
    <mergeCell ref="C56:I56"/>
    <mergeCell ref="A37:I37"/>
    <mergeCell ref="A46:I46"/>
    <mergeCell ref="A54:E54"/>
    <mergeCell ref="A27:I27"/>
  </mergeCells>
  <phoneticPr fontId="1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A12" zoomScale="85" zoomScaleNormal="85" workbookViewId="0">
      <selection activeCell="A15" sqref="A15"/>
    </sheetView>
  </sheetViews>
  <sheetFormatPr defaultRowHeight="17.399999999999999" x14ac:dyDescent="0.4"/>
  <cols>
    <col min="1" max="1" width="8.09765625" customWidth="1"/>
    <col min="2" max="2" width="9.3984375" bestFit="1" customWidth="1"/>
    <col min="3" max="3" width="59.5" customWidth="1"/>
  </cols>
  <sheetData>
    <row r="1" spans="1:4" ht="32.1" customHeight="1" x14ac:dyDescent="0.4">
      <c r="A1" s="93" t="s">
        <v>74</v>
      </c>
      <c r="B1" s="94"/>
      <c r="C1" s="94"/>
      <c r="D1" s="94"/>
    </row>
    <row r="2" spans="1:4" ht="21.9" customHeight="1" thickBot="1" x14ac:dyDescent="0.45">
      <c r="A2" s="95" t="s">
        <v>83</v>
      </c>
      <c r="B2" s="96"/>
      <c r="C2" s="96"/>
      <c r="D2" s="96"/>
    </row>
    <row r="3" spans="1:4" ht="21.9" customHeight="1" thickBot="1" x14ac:dyDescent="0.45">
      <c r="A3" s="28" t="s">
        <v>0</v>
      </c>
      <c r="B3" s="28" t="s">
        <v>60</v>
      </c>
      <c r="C3" s="29" t="s">
        <v>61</v>
      </c>
      <c r="D3" s="28" t="s">
        <v>73</v>
      </c>
    </row>
    <row r="4" spans="1:4" ht="27.9" customHeight="1" x14ac:dyDescent="0.4">
      <c r="A4" s="30" t="s">
        <v>62</v>
      </c>
      <c r="B4" s="34" t="s">
        <v>93</v>
      </c>
      <c r="C4" s="31" t="s">
        <v>94</v>
      </c>
      <c r="D4" s="31"/>
    </row>
    <row r="5" spans="1:4" ht="33.9" customHeight="1" x14ac:dyDescent="0.4">
      <c r="A5" s="30" t="s">
        <v>64</v>
      </c>
      <c r="B5" s="33" t="s">
        <v>63</v>
      </c>
      <c r="C5" s="32" t="s">
        <v>95</v>
      </c>
      <c r="D5" s="32"/>
    </row>
    <row r="6" spans="1:4" ht="33.9" customHeight="1" x14ac:dyDescent="0.4">
      <c r="A6" s="30" t="s">
        <v>65</v>
      </c>
      <c r="B6" s="34" t="s">
        <v>103</v>
      </c>
      <c r="C6" s="31" t="s">
        <v>96</v>
      </c>
      <c r="D6" s="31"/>
    </row>
    <row r="7" spans="1:4" ht="33.9" customHeight="1" x14ac:dyDescent="0.4">
      <c r="A7" s="30" t="s">
        <v>66</v>
      </c>
      <c r="B7" s="33" t="s">
        <v>81</v>
      </c>
      <c r="C7" s="32" t="s">
        <v>129</v>
      </c>
      <c r="D7" s="32"/>
    </row>
    <row r="8" spans="1:4" ht="33.9" customHeight="1" x14ac:dyDescent="0.4">
      <c r="A8" s="30" t="s">
        <v>67</v>
      </c>
      <c r="B8" s="34" t="s">
        <v>104</v>
      </c>
      <c r="C8" s="31" t="s">
        <v>128</v>
      </c>
      <c r="D8" s="31"/>
    </row>
    <row r="9" spans="1:4" ht="33.9" customHeight="1" x14ac:dyDescent="0.4">
      <c r="A9" s="30" t="s">
        <v>68</v>
      </c>
      <c r="B9" s="33" t="s">
        <v>80</v>
      </c>
      <c r="C9" s="32" t="s">
        <v>79</v>
      </c>
      <c r="D9" s="32"/>
    </row>
    <row r="10" spans="1:4" ht="33.9" customHeight="1" x14ac:dyDescent="0.4">
      <c r="A10" s="30" t="s">
        <v>69</v>
      </c>
      <c r="B10" s="34" t="s">
        <v>108</v>
      </c>
      <c r="C10" s="31" t="s">
        <v>97</v>
      </c>
      <c r="D10" s="31"/>
    </row>
    <row r="11" spans="1:4" ht="33.9" customHeight="1" x14ac:dyDescent="0.4">
      <c r="A11" s="30" t="s">
        <v>70</v>
      </c>
      <c r="B11" s="33" t="s">
        <v>82</v>
      </c>
      <c r="C11" s="32" t="s">
        <v>105</v>
      </c>
      <c r="D11" s="32"/>
    </row>
    <row r="12" spans="1:4" ht="33.9" customHeight="1" x14ac:dyDescent="0.4">
      <c r="A12" s="30" t="s">
        <v>71</v>
      </c>
      <c r="B12" s="34" t="s">
        <v>107</v>
      </c>
      <c r="C12" s="31" t="s">
        <v>98</v>
      </c>
      <c r="D12" s="31"/>
    </row>
    <row r="13" spans="1:4" ht="33.9" customHeight="1" x14ac:dyDescent="0.4">
      <c r="A13" s="30" t="s">
        <v>72</v>
      </c>
      <c r="B13" s="33" t="s">
        <v>109</v>
      </c>
      <c r="C13" s="32" t="s">
        <v>106</v>
      </c>
      <c r="D13" s="32"/>
    </row>
    <row r="14" spans="1:4" ht="33.9" customHeight="1" x14ac:dyDescent="0.4">
      <c r="A14" s="91" t="s">
        <v>132</v>
      </c>
      <c r="B14" s="92"/>
      <c r="C14" s="92"/>
      <c r="D14" s="92"/>
    </row>
  </sheetData>
  <mergeCells count="3">
    <mergeCell ref="A14:D14"/>
    <mergeCell ref="A1:D1"/>
    <mergeCell ref="A2:D2"/>
  </mergeCells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고반식당_MOT</vt:lpstr>
      <vt:lpstr>❌ 절대 금지 10계명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승훈</cp:lastModifiedBy>
  <dcterms:created xsi:type="dcterms:W3CDTF">2026-05-28T09:06:09Z</dcterms:created>
  <dcterms:modified xsi:type="dcterms:W3CDTF">2026-06-04T05:46:48Z</dcterms:modified>
</cp:coreProperties>
</file>