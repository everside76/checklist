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김아름\Desktop\★고반★\HPA_기획\이슈분석\MOT\"/>
    </mc:Choice>
  </mc:AlternateContent>
  <xr:revisionPtr revIDLastSave="0" documentId="13_ncr:1_{18ACA5B9-4F5F-49FB-BCC5-AE79EB4DE1F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고반식당_MOT" sheetId="1" r:id="rId1"/>
    <sheet name="❌ 절대 금지 10계명" sheetId="2" r:id="rId2"/>
    <sheet name="맛있게먹는법" sheetId="5" r:id="rId3"/>
  </sheets>
  <definedNames>
    <definedName name="_xlnm._FilterDatabase" localSheetId="0" hidden="1">고반식당_MOT!$A$5:$I$5</definedName>
    <definedName name="_xlnm.Print_Area" localSheetId="0">고반식당_MOT!$A$1:$I$53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H50" i="1"/>
  <c r="A31" i="1" l="1"/>
  <c r="A32" i="1" s="1"/>
  <c r="A33" i="1" s="1"/>
  <c r="A40" i="1"/>
  <c r="A46" i="1" l="1"/>
  <c r="A47" i="1" s="1"/>
  <c r="A48" i="1" s="1"/>
  <c r="A49" i="1" s="1"/>
</calcChain>
</file>

<file path=xl/sharedStrings.xml><?xml version="1.0" encoding="utf-8"?>
<sst xmlns="http://schemas.openxmlformats.org/spreadsheetml/2006/main" count="240" uniqueCount="145">
  <si>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</si>
  <si>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</si>
  <si>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</si>
  <si>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</si>
  <si>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</si>
  <si>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</si>
  <si>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</si>
  <si>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</si>
  <si>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</si>
  <si>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</si>
  <si>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주문</t>
  </si>
  <si>
    <t>후식·식사메뉴 동시 주문 시 제공 타이밍을 확인하여 안내하는가?</t>
  </si>
  <si>
    <t>그릴링</t>
  </si>
  <si>
    <t>계산</t>
  </si>
  <si>
    <t>환송</t>
  </si>
  <si>
    <t>쿠폰·재방문 안내 등 재방문을 유도하는 행동을 하는가?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</si>
  <si>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</si>
  <si>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</si>
  <si>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</si>
  <si>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</si>
  <si>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</si>
  <si>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</si>
  <si>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평가 기준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</si>
  <si>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</si>
  <si>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</si>
  <si>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</si>
  <si>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</si>
  <si>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6" type="noConversion"/>
  </si>
  <si>
    <t>S</t>
  </si>
  <si>
    <t>S</t>
    <phoneticPr fontId="16" type="noConversion"/>
  </si>
  <si>
    <t>서빙</t>
  </si>
  <si>
    <t>서빙</t>
    <phoneticPr fontId="16" type="noConversion"/>
  </si>
  <si>
    <t>식사중</t>
  </si>
  <si>
    <t>식사중</t>
    <phoneticPr fontId="16" type="noConversion"/>
  </si>
  <si>
    <t>퇴식</t>
  </si>
  <si>
    <t>▶  입점</t>
    <phoneticPr fontId="16" type="noConversion"/>
  </si>
  <si>
    <t>▶  서빙</t>
    <phoneticPr fontId="16" type="noConversion"/>
  </si>
  <si>
    <t>▶  그릴링</t>
    <phoneticPr fontId="16" type="noConversion"/>
  </si>
  <si>
    <t>비고</t>
    <phoneticPr fontId="16" type="noConversion"/>
  </si>
  <si>
    <t>▶  주문</t>
    <phoneticPr fontId="16" type="noConversion"/>
  </si>
  <si>
    <t>▶  식사중</t>
    <phoneticPr fontId="16" type="noConversion"/>
  </si>
  <si>
    <t>▶  클레임 (발생 한 경우 체크 or 롤플레이 시행)</t>
    <phoneticPr fontId="16" type="noConversion"/>
  </si>
  <si>
    <t>테이블
오더</t>
    <phoneticPr fontId="16" type="noConversion"/>
  </si>
  <si>
    <t>고객 호출 시 즉시 반응하는가?</t>
    <phoneticPr fontId="16" type="noConversion"/>
  </si>
  <si>
    <t>▶  퇴식 (관찰 가능한 경우 체크)</t>
    <phoneticPr fontId="16" type="noConversion"/>
  </si>
  <si>
    <t>식사 중, "음식은 괜찮으세요?" 등 고객 만족 여부를 체크하는가?</t>
    <phoneticPr fontId="16" type="noConversion"/>
  </si>
  <si>
    <t>배점</t>
    <phoneticPr fontId="16" type="noConversion"/>
  </si>
  <si>
    <t>등 급 :    S  ·  A  ·  B  ·  C</t>
    <phoneticPr fontId="16" type="noConversion"/>
  </si>
  <si>
    <t>모든 항목은 현장에서 눈으로 즉시 확인 가능한 것만, 증빙 제시</t>
    <phoneticPr fontId="16" type="noConversion"/>
  </si>
  <si>
    <t>적절한 추천 메뉴(전략판매메뉴)가 상단에 위치해 있는가? 
(점심 : 점심특선, 저녁 : 신메뉴 등)</t>
    <phoneticPr fontId="16" type="noConversion"/>
  </si>
  <si>
    <t>▶  계산 및 환송</t>
    <phoneticPr fontId="16" type="noConversion"/>
  </si>
  <si>
    <t>계산 시 '맛있게 드셨어요?' 라고 묻는가?</t>
    <phoneticPr fontId="16" type="noConversion"/>
  </si>
  <si>
    <t>'감사합니다. 또 오세요!' 환송 인사를 큰 소리로 하는가?</t>
    <phoneticPr fontId="16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</si>
  <si>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</si>
  <si>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</si>
  <si>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</si>
  <si>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</si>
  <si>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</si>
  <si>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</si>
  <si>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</si>
  <si>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</si>
  <si>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</si>
  <si>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</si>
  <si>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</si>
  <si>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</si>
  <si>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</si>
  <si>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</si>
  <si>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6" type="noConversion"/>
  </si>
  <si>
    <t>S(90%↑) / A(80~89%) / B(70~79%) / C(70%↓)</t>
    <phoneticPr fontId="16" type="noConversion"/>
  </si>
  <si>
    <t>인사 시 "밝은 표정(미소)"을 짓는가?</t>
    <phoneticPr fontId="16" type="noConversion"/>
  </si>
  <si>
    <t>대기 후 입장 시 '기다려 주셔서 감사합니다' 인사를 하는가?</t>
    <phoneticPr fontId="16" type="noConversion"/>
  </si>
  <si>
    <t>만석 시 '현재 만석이라 자리가 나는 대로 안내해 드리겠습니다' 라고 안내하는가?</t>
  </si>
  <si>
    <t>음식 나올 때 테이블에 던지듯 내려놓기</t>
    <phoneticPr fontId="16" type="noConversion"/>
  </si>
  <si>
    <t>불친절</t>
    <phoneticPr fontId="16" type="noConversion"/>
  </si>
  <si>
    <t>무응답</t>
    <phoneticPr fontId="16" type="noConversion"/>
  </si>
  <si>
    <t>감정행동</t>
    <phoneticPr fontId="16" type="noConversion"/>
  </si>
  <si>
    <t>○ 완전 이행= 100점  /  △ 미흡=배점 -1  /  × 불이행= -2</t>
    <phoneticPr fontId="16" type="noConversion"/>
  </si>
  <si>
    <t>서비스 강령</t>
    <phoneticPr fontId="16" type="noConversion"/>
  </si>
  <si>
    <t>큰소리 기준 : 메아리 2명 이상 시 이행으로 판단</t>
    <phoneticPr fontId="16" type="noConversion"/>
  </si>
  <si>
    <t>밝은 미소 기준 : 치아가 보이는 미소</t>
    <phoneticPr fontId="16" type="noConversion"/>
  </si>
  <si>
    <t>만석 안내 기준 : 대기 장소, 대기 예상 시간 안내</t>
    <phoneticPr fontId="16" type="noConversion"/>
  </si>
  <si>
    <t>고객방치</t>
    <phoneticPr fontId="16" type="noConversion"/>
  </si>
  <si>
    <t>입점 시 인사나 안내 없이 고객 방치하기</t>
    <phoneticPr fontId="16" type="noConversion"/>
  </si>
  <si>
    <t>유니폼 입고 흡연하기</t>
    <phoneticPr fontId="16" type="noConversion"/>
  </si>
  <si>
    <t>고객 "앞"에서 직원 혼내기</t>
    <phoneticPr fontId="16" type="noConversion"/>
  </si>
  <si>
    <t>오픈 시간 영업준비 안되어 있기</t>
    <phoneticPr fontId="16" type="noConversion"/>
  </si>
  <si>
    <t>메뉴 인분수 강요하기</t>
    <phoneticPr fontId="16" type="noConversion"/>
  </si>
  <si>
    <t>MOT 7단계 (입점 → 주문 → 서빙 → 그릴링&amp;식사 → 계산 → 환송 → 퇴식)</t>
    <phoneticPr fontId="16" type="noConversion"/>
  </si>
  <si>
    <t xml:space="preserve">매 장 명 :                      점 검 일 :                   (      요일)       점 검 자 :                         </t>
    <phoneticPr fontId="16" type="noConversion"/>
  </si>
  <si>
    <t>테이블오더 매장  [테이블
오더]</t>
    <phoneticPr fontId="16" type="noConversion"/>
  </si>
  <si>
    <t>폭  언</t>
    <phoneticPr fontId="16" type="noConversion"/>
  </si>
  <si>
    <t>책임전가</t>
    <phoneticPr fontId="16" type="noConversion"/>
  </si>
  <si>
    <t>감정 상태를 행동(그릇 소리·집게·카트 등)으로 고객에게 드러내기</t>
    <phoneticPr fontId="16" type="noConversion"/>
  </si>
  <si>
    <t>마감 시간 대, 고객 퇴점 전 청소 시작하기</t>
    <phoneticPr fontId="16" type="noConversion"/>
  </si>
  <si>
    <t>강  요</t>
    <phoneticPr fontId="16" type="noConversion"/>
  </si>
  <si>
    <t>오픈준수</t>
    <phoneticPr fontId="16" type="noConversion"/>
  </si>
  <si>
    <t>마감준수</t>
    <phoneticPr fontId="16" type="noConversion"/>
  </si>
  <si>
    <t>활용 방법</t>
    <phoneticPr fontId="16" type="noConversion"/>
  </si>
  <si>
    <t>경영주 포함 전 직원 개별 교육용 (수습 직원 - 수습 평가에 활용)</t>
    <phoneticPr fontId="16" type="noConversion"/>
  </si>
  <si>
    <t>1차 대상</t>
    <phoneticPr fontId="16" type="noConversion"/>
  </si>
  <si>
    <t>사상점, 미금점, 블랙마포, 가든물왕, 2차 바이럴 매장(바이럴 시작 시, MOT 사전 교육 진행)</t>
    <phoneticPr fontId="16" type="noConversion"/>
  </si>
  <si>
    <t>고반 전용 불판크리너에 대해 설명 후 불판을 닦아주는가? 
(ex.플라스틱 물티슈가 아닌 전용으로 제작한 100% 천연펄프, 미세플라스틱 제로)</t>
    <phoneticPr fontId="16" type="noConversion"/>
  </si>
  <si>
    <t>퇴식시 메뉴얼에 맞는 행주 구분 사용 및 크린콜 등 적절한 세정제를 뿌리고 닦는가?</t>
    <phoneticPr fontId="16" type="noConversion"/>
  </si>
  <si>
    <t>그릴링</t>
    <phoneticPr fontId="16" type="noConversion"/>
  </si>
  <si>
    <t>버싱 카트가 통로를 막지 않았는가?</t>
    <phoneticPr fontId="16" type="noConversion"/>
  </si>
  <si>
    <t>고객 불편사항에 대해 즉시 사과하지 않기</t>
    <phoneticPr fontId="16" type="noConversion"/>
  </si>
  <si>
    <t>고객 요청에 대답 안하기 (실행 여부 관계 없이)</t>
    <phoneticPr fontId="16" type="noConversion"/>
  </si>
  <si>
    <r>
      <t xml:space="preserve">고기 제공 전 온도계로 불판 온도를 확인하는가?
</t>
    </r>
    <r>
      <rPr>
        <sz val="9"/>
        <color rgb="FFFF0000"/>
        <rFont val="맑은 고딕"/>
        <family val="3"/>
        <charset val="129"/>
      </rPr>
      <t>(★불판이 달궈지지 않은 상태에서 고기를 올리면? -5점)</t>
    </r>
    <phoneticPr fontId="16" type="noConversion"/>
  </si>
  <si>
    <t>점수 :                 /100점 (문항별 가중치 부여)</t>
    <phoneticPr fontId="16" type="noConversion"/>
  </si>
  <si>
    <t>※ 발생 체크 1건당 총점에서 5점 추가 감점 적용 / 시정 조치 내용 반드시 보고</t>
    <phoneticPr fontId="16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</si>
  <si>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점주점검  □ SV방문 
주문 방식 : □ 직접주문  □ 테이블오더</t>
    </r>
    <phoneticPr fontId="16" type="noConversion"/>
  </si>
  <si>
    <t>숙련된 전문가가 테이블에서 직접 구워드리는 그릴링 서비스</t>
  </si>
  <si>
    <t>7찬 7소스</t>
  </si>
  <si>
    <t>고반식당 블랙 마포점 서비스 MOT 체크리스트 (35문항)</t>
    <phoneticPr fontId="16" type="noConversion"/>
  </si>
  <si>
    <t>고객 입장 즉시 '반갑습니다 고반식당블랙입니다!' 라고 "큰 소리"로 인사하는가?</t>
    <phoneticPr fontId="16" type="noConversion"/>
  </si>
  <si>
    <t>큰소리 기준 : 메아리 2명 이상 시 이행으로 판단/메아리 멘트는 "반갑습니다"
2층 이상에는 고객 입점시 "반갑습니다"로 재 인사</t>
    <phoneticPr fontId="16" type="noConversion"/>
  </si>
  <si>
    <t>고객이 테블릿 주문이 용이하도록 안내를 하는가?
(물 제공 후 테이블 오더 안내, 외국인의 경우 언어 변경, 단골/어르신의 경우 대신 주문)</t>
    <phoneticPr fontId="16" type="noConversion"/>
  </si>
  <si>
    <t>ex. 테이블 오더 주문이 번거롭거나 도움이 필요하시면~ 쿠션 언어 사용</t>
    <phoneticPr fontId="16" type="noConversion"/>
  </si>
  <si>
    <t>월~토</t>
    <phoneticPr fontId="16" type="noConversion"/>
  </si>
  <si>
    <t>점심</t>
    <phoneticPr fontId="16" type="noConversion"/>
  </si>
  <si>
    <t>저녁</t>
    <phoneticPr fontId="16" type="noConversion"/>
  </si>
  <si>
    <t>일</t>
    <phoneticPr fontId="16" type="noConversion"/>
  </si>
  <si>
    <t>홀
근무인원</t>
    <phoneticPr fontId="16" type="noConversion"/>
  </si>
  <si>
    <t>구이메뉴</t>
    <phoneticPr fontId="16" type="noConversion"/>
  </si>
  <si>
    <t>식사메뉴</t>
    <phoneticPr fontId="16" type="noConversion"/>
  </si>
  <si>
    <t>점심시간에 상단에 점심특선을 올릴지, 한돈을 올릴지 규정 필요</t>
    <phoneticPr fontId="16" type="noConversion"/>
  </si>
  <si>
    <t>파트너스 체크 시, 인원별 체크 어려운 상황</t>
    <phoneticPr fontId="16" type="noConversion"/>
  </si>
  <si>
    <t>=&gt; 안되는 단계, 해당 직원 이름 파악하는 방안</t>
    <phoneticPr fontId="16" type="noConversion"/>
  </si>
  <si>
    <t>흰색·밝은색 옷 고객에게 먼저 앞치마를 제공하는가?</t>
    <phoneticPr fontId="16" type="noConversion"/>
  </si>
  <si>
    <t>아기 손님이 있을 때 아기 수저·포크·유아의자 필요여부를 사전 제안 또는 제공하는가?</t>
    <phoneticPr fontId="16" type="noConversion"/>
  </si>
  <si>
    <t>메뉴(반찬포함) 제공 시 '반찬올려드리겠습니다' 멘트를 하는가?</t>
    <phoneticPr fontId="16" type="noConversion"/>
  </si>
  <si>
    <t xml:space="preserve">뜨거운 음식 제공 시 '뜨거우니 조심하세요' 라고 안내하는가?
(ex.계란찜, 찌개류 등) </t>
    <phoneticPr fontId="16" type="noConversion"/>
  </si>
  <si>
    <t>중간중간 발생 시에 체크 (순서상관없이)</t>
    <phoneticPr fontId="16" type="noConversion"/>
  </si>
  <si>
    <t>추가 반찬이 필요하시면 말씀해주세요 라고 안내하거나, 먼저 가져다주는가?</t>
    <phoneticPr fontId="16" type="noConversion"/>
  </si>
  <si>
    <t>숯 사용 시 '숯 먼저 점화하겠습니다/숯제공해드리겠습니다' 등 쿠션언어를 사용하는가?</t>
    <phoneticPr fontId="16" type="noConversion"/>
  </si>
  <si>
    <t>온도계 사용이 매뉴얼인가?</t>
    <phoneticPr fontId="16" type="noConversion"/>
  </si>
  <si>
    <t>단골 성향에 따라 설명이 불필요한 경우는 어떻게 판단하는가?</t>
    <phoneticPr fontId="16" type="noConversion"/>
  </si>
  <si>
    <t>점심정식 주문 시, 그릴링 하면서 솥밥과 해장국 서빙 순서에 대한 설명을 하는가?</t>
  </si>
  <si>
    <t>그릴링 전/후 적절한 타이밍에, 곁들임에 좋은 7찬 7소스에 대한 설명을 적절히 하는가?</t>
    <phoneticPr fontId="16" type="noConversion"/>
  </si>
  <si>
    <t>고기 주문 시, 부위별 설명을 적절히 하는가?</t>
  </si>
  <si>
    <t>코스 주문시, 코스에 대한 설명을 하고 
(샐러드 설명, 육회 먼저 드세요 등)</t>
    <phoneticPr fontId="16" type="noConversion"/>
  </si>
  <si>
    <t>코스 주문시, 식사의 경우 필요하실때 제공된다는 설명을 하는가?</t>
    <phoneticPr fontId="16" type="noConversion"/>
  </si>
  <si>
    <t>그릴링 종료 후, 더 필요한거 있으실까요 질문 하는가?</t>
    <phoneticPr fontId="16" type="noConversion"/>
  </si>
  <si>
    <t>물·앞접시 등 고객 요청 전에 필요하신지 먼저 물어보는가?</t>
    <phoneticPr fontId="16" type="noConversion"/>
  </si>
  <si>
    <t>물, 앞접시, 수저세트, 물티슈를 사전 제공하는가?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</si>
</sst>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95000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8"/>
      <color rgb="FF1C1C1C"/>
      <name val="Arial"/>
      <family val="2"/>
    </font>
    <font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04D4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right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5" fillId="2" borderId="1" xfId="0" quotePrefix="1" applyFont="1" applyFill="1" applyBorder="1" applyAlignment="1">
      <alignment horizontal="center" vertical="center" wrapText="1"/>
    </xf>
    <xf numFmtId="0" fontId="15" fillId="5" borderId="1" xfId="0" quotePrefix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3" fillId="16" borderId="15" xfId="0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left" vertical="center" wrapText="1"/>
    </xf>
    <xf numFmtId="0" fontId="25" fillId="17" borderId="15" xfId="0" applyFont="1" applyFill="1" applyBorder="1" applyAlignment="1">
      <alignment horizontal="left" vertical="center" wrapText="1"/>
    </xf>
    <xf numFmtId="0" fontId="26" fillId="17" borderId="15" xfId="0" applyFont="1" applyFill="1" applyBorder="1" applyAlignment="1">
      <alignment horizontal="center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vertical="center" wrapText="1"/>
    </xf>
    <xf numFmtId="0" fontId="15" fillId="2" borderId="19" xfId="0" quotePrefix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0" fillId="0" borderId="0" xfId="0" applyFont="1"/>
    <xf numFmtId="0" fontId="18" fillId="0" borderId="3" xfId="0" applyFont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" fillId="18" borderId="12" xfId="0" applyFont="1" applyFill="1" applyBorder="1" applyAlignment="1">
      <alignment horizontal="center" vertical="center" wrapText="1"/>
    </xf>
    <xf numFmtId="0" fontId="0" fillId="18" borderId="11" xfId="0" applyFill="1" applyBorder="1"/>
    <xf numFmtId="0" fontId="0" fillId="18" borderId="13" xfId="0" applyFill="1" applyBorder="1"/>
    <xf numFmtId="0" fontId="20" fillId="3" borderId="0" xfId="0" applyFont="1" applyFill="1" applyAlignment="1">
      <alignment horizontal="center" vertical="center" wrapText="1"/>
    </xf>
    <xf numFmtId="0" fontId="21" fillId="0" borderId="0" xfId="0" applyFont="1"/>
    <xf numFmtId="0" fontId="17" fillId="2" borderId="0" xfId="0" applyFont="1" applyFill="1" applyAlignment="1">
      <alignment horizontal="left" vertical="center" wrapText="1"/>
    </xf>
    <xf numFmtId="0" fontId="18" fillId="0" borderId="0" xfId="0" applyFont="1"/>
    <xf numFmtId="0" fontId="2" fillId="8" borderId="3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3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12" borderId="4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0" fillId="13" borderId="5" xfId="0" applyFill="1" applyBorder="1"/>
    <xf numFmtId="0" fontId="0" fillId="13" borderId="6" xfId="0" applyFill="1" applyBorder="1"/>
    <xf numFmtId="0" fontId="4" fillId="9" borderId="4" xfId="0" applyFont="1" applyFill="1" applyBorder="1" applyAlignment="1">
      <alignment horizontal="left" vertical="center" wrapText="1"/>
    </xf>
    <xf numFmtId="0" fontId="27" fillId="17" borderId="16" xfId="0" applyFont="1" applyFill="1" applyBorder="1" applyAlignment="1">
      <alignment horizontal="left" vertical="center" wrapText="1"/>
    </xf>
    <xf numFmtId="0" fontId="27" fillId="17" borderId="0" xfId="0" applyFont="1" applyFill="1" applyAlignment="1">
      <alignment horizontal="left" vertical="center" wrapText="1"/>
    </xf>
    <xf numFmtId="0" fontId="23" fillId="14" borderId="16" xfId="0" applyFont="1" applyFill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center" wrapText="1"/>
    </xf>
    <xf numFmtId="0" fontId="24" fillId="15" borderId="17" xfId="0" applyFont="1" applyFill="1" applyBorder="1" applyAlignment="1">
      <alignment horizontal="center" vertical="center" wrapText="1"/>
    </xf>
    <xf numFmtId="0" fontId="24" fillId="15" borderId="18" xfId="0" applyFont="1" applyFill="1" applyBorder="1" applyAlignment="1">
      <alignment horizontal="center" vertical="center" wrapText="1"/>
    </xf>
    <xf numFmtId="0" fontId="0" fillId="19" borderId="19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quotePrefix="1" applyBorder="1"/>
    <xf numFmtId="0" fontId="0" fillId="0" borderId="23" xfId="0" applyBorder="1"/>
    <xf numFmtId="0" fontId="0" fillId="0" borderId="24" xfId="0" applyBorder="1"/>
    <xf numFmtId="0" fontId="0" fillId="19" borderId="1" xfId="0" applyFill="1" applyBorder="1" applyAlignment="1">
      <alignment horizontal="left" vertical="center" wrapText="1"/>
    </xf>
    <xf numFmtId="0" fontId="19" fillId="5" borderId="20" xfId="0" quotePrefix="1" applyFont="1" applyFill="1" applyBorder="1" applyAlignment="1">
      <alignment horizontal="left" vertical="center" wrapText="1"/>
    </xf>
    <xf numFmtId="0" fontId="29" fillId="19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P57"/>
  <sheetViews>
    <sheetView showGridLines="0" tabSelected="1" view="pageBreakPreview" zoomScale="130" zoomScaleNormal="115" zoomScaleSheetLayoutView="130" workbookViewId="0">
      <selection activeCell="G50" sqref="G50"/>
    </sheetView>
  </sheetViews>
  <sheetFormatPr defaultRowHeight="17" x14ac:dyDescent="0.45"/>
  <cols>
    <col min="1" max="1" width="5" customWidth="1"/>
    <col min="2" max="2" width="8.08203125" bestFit="1" customWidth="1"/>
    <col min="3" max="3" width="4.58203125" bestFit="1" customWidth="1"/>
    <col min="4" max="4" width="5.1640625" bestFit="1" customWidth="1"/>
    <col min="5" max="5" width="61.6640625" customWidth="1"/>
    <col min="6" max="7" width="5" customWidth="1"/>
    <col min="8" max="8" width="5.6640625" bestFit="1" customWidth="1"/>
    <col min="9" max="9" width="60.1640625" bestFit="1" customWidth="1"/>
  </cols>
  <sheetData>
    <row r="1" spans="1:16" ht="34" customHeight="1" x14ac:dyDescent="0.45">
      <c r="A1" s="70" t="s">
        <v>113</v>
      </c>
      <c r="B1" s="71"/>
      <c r="C1" s="71"/>
      <c r="D1" s="71"/>
      <c r="E1" s="71"/>
      <c r="F1" s="71"/>
      <c r="G1" s="71"/>
      <c r="H1" s="71"/>
      <c r="I1" s="72"/>
    </row>
    <row r="2" spans="1:16" ht="34" customHeight="1" x14ac:dyDescent="0.45">
      <c r="A2" s="67" t="s">
        <v>87</v>
      </c>
      <c r="B2" s="68"/>
      <c r="C2" s="68"/>
      <c r="D2" s="68"/>
      <c r="E2" s="68"/>
      <c r="F2" s="68"/>
      <c r="G2" s="68"/>
      <c r="H2" s="68"/>
      <c r="I2" s="69"/>
    </row>
    <row r="3" spans="1:16" ht="43.5" customHeight="1" x14ac:dyDescent="0.45">
      <c r="A3" s="66" t="s">
        <v>88</v>
      </c>
      <c r="B3" s="66"/>
      <c r="C3" s="66"/>
      <c r="D3" s="66"/>
      <c r="E3" s="66"/>
      <c r="F3" s="66"/>
      <c r="G3" s="73" t="s">
        <v>108</v>
      </c>
      <c r="H3" s="74"/>
      <c r="I3" s="74"/>
      <c r="L3" s="59" t="s">
        <v>122</v>
      </c>
      <c r="M3" s="57" t="s">
        <v>118</v>
      </c>
      <c r="N3" s="57" t="s">
        <v>121</v>
      </c>
    </row>
    <row r="4" spans="1:16" ht="43.5" customHeight="1" x14ac:dyDescent="0.45">
      <c r="A4" s="75" t="s">
        <v>110</v>
      </c>
      <c r="B4" s="76"/>
      <c r="C4" s="76"/>
      <c r="D4" s="76"/>
      <c r="E4" s="76"/>
      <c r="F4" s="76"/>
      <c r="G4" s="73" t="s">
        <v>47</v>
      </c>
      <c r="H4" s="74"/>
      <c r="I4" s="74"/>
      <c r="L4" s="57" t="s">
        <v>119</v>
      </c>
      <c r="M4" s="57">
        <v>5</v>
      </c>
      <c r="N4" s="57">
        <v>6</v>
      </c>
    </row>
    <row r="5" spans="1:16" ht="29" x14ac:dyDescent="0.45">
      <c r="A5" s="22" t="s">
        <v>0</v>
      </c>
      <c r="B5" s="23" t="s">
        <v>1</v>
      </c>
      <c r="C5" s="23" t="s">
        <v>2</v>
      </c>
      <c r="D5" s="23" t="s">
        <v>3</v>
      </c>
      <c r="E5" s="23" t="s">
        <v>27</v>
      </c>
      <c r="F5" s="23" t="s">
        <v>4</v>
      </c>
      <c r="G5" s="23" t="s">
        <v>5</v>
      </c>
      <c r="H5" s="23" t="s">
        <v>6</v>
      </c>
      <c r="I5" s="24" t="s">
        <v>38</v>
      </c>
      <c r="L5" s="58" t="s">
        <v>120</v>
      </c>
      <c r="M5" s="57">
        <v>7</v>
      </c>
      <c r="N5" s="57">
        <v>6</v>
      </c>
    </row>
    <row r="6" spans="1:16" ht="27" customHeight="1" x14ac:dyDescent="0.45">
      <c r="A6" s="89" t="s">
        <v>35</v>
      </c>
      <c r="B6" s="90"/>
      <c r="C6" s="90"/>
      <c r="D6" s="90"/>
      <c r="E6" s="18" t="s">
        <v>46</v>
      </c>
      <c r="F6" s="19"/>
      <c r="G6" s="20"/>
      <c r="H6" s="20"/>
      <c r="I6" s="21"/>
    </row>
    <row r="7" spans="1:16" ht="34" customHeight="1" x14ac:dyDescent="0.45">
      <c r="A7" s="15">
        <v>1</v>
      </c>
      <c r="B7" s="16" t="s">
        <v>8</v>
      </c>
      <c r="C7" s="16" t="s">
        <v>29</v>
      </c>
      <c r="D7" s="12" t="s">
        <v>7</v>
      </c>
      <c r="E7" s="52" t="s">
        <v>114</v>
      </c>
      <c r="F7" s="60"/>
      <c r="G7" s="60">
        <v>-2</v>
      </c>
      <c r="H7" s="60">
        <v>-4</v>
      </c>
      <c r="I7" s="61" t="s">
        <v>115</v>
      </c>
      <c r="L7" s="108" t="s">
        <v>123</v>
      </c>
      <c r="M7" s="108" t="s">
        <v>124</v>
      </c>
    </row>
    <row r="8" spans="1:16" ht="34" customHeight="1" x14ac:dyDescent="0.45">
      <c r="A8" s="6">
        <v>2</v>
      </c>
      <c r="B8" s="7" t="s">
        <v>8</v>
      </c>
      <c r="C8" s="7" t="s">
        <v>28</v>
      </c>
      <c r="D8" s="3" t="s">
        <v>7</v>
      </c>
      <c r="E8" s="8" t="s">
        <v>9</v>
      </c>
      <c r="F8" s="7"/>
      <c r="G8" s="7">
        <v>-2</v>
      </c>
      <c r="H8" s="7">
        <v>-4</v>
      </c>
      <c r="I8" s="35"/>
      <c r="L8" s="107" t="s">
        <v>126</v>
      </c>
      <c r="M8" s="54"/>
      <c r="N8" s="54"/>
      <c r="O8" s="54"/>
      <c r="P8" s="55"/>
    </row>
    <row r="9" spans="1:16" ht="34" customHeight="1" x14ac:dyDescent="0.45">
      <c r="A9" s="15">
        <v>3</v>
      </c>
      <c r="B9" s="16" t="s">
        <v>8</v>
      </c>
      <c r="C9" s="16" t="s">
        <v>29</v>
      </c>
      <c r="D9" s="12" t="s">
        <v>7</v>
      </c>
      <c r="E9" s="17" t="s">
        <v>69</v>
      </c>
      <c r="F9" s="16"/>
      <c r="G9" s="16">
        <v>-2</v>
      </c>
      <c r="H9" s="16">
        <v>-4</v>
      </c>
      <c r="I9" s="34" t="s">
        <v>79</v>
      </c>
      <c r="L9" s="109" t="s">
        <v>127</v>
      </c>
      <c r="M9" s="110"/>
      <c r="N9" s="110"/>
      <c r="O9" s="110"/>
      <c r="P9" s="111"/>
    </row>
    <row r="10" spans="1:16" ht="34" customHeight="1" x14ac:dyDescent="0.45">
      <c r="A10" s="6">
        <v>4</v>
      </c>
      <c r="B10" s="7" t="s">
        <v>8</v>
      </c>
      <c r="C10" s="7" t="s">
        <v>29</v>
      </c>
      <c r="D10" s="3" t="s">
        <v>7</v>
      </c>
      <c r="E10" s="8" t="s">
        <v>71</v>
      </c>
      <c r="F10" s="7"/>
      <c r="G10" s="7">
        <v>-2</v>
      </c>
      <c r="H10" s="7">
        <v>-4</v>
      </c>
      <c r="I10" s="35" t="s">
        <v>80</v>
      </c>
    </row>
    <row r="11" spans="1:16" ht="34" customHeight="1" x14ac:dyDescent="0.45">
      <c r="A11" s="15">
        <v>5</v>
      </c>
      <c r="B11" s="16" t="s">
        <v>8</v>
      </c>
      <c r="C11" s="16" t="s">
        <v>29</v>
      </c>
      <c r="D11" s="12" t="s">
        <v>7</v>
      </c>
      <c r="E11" s="17" t="s">
        <v>70</v>
      </c>
      <c r="F11" s="16"/>
      <c r="G11" s="16">
        <v>-1</v>
      </c>
      <c r="H11" s="16">
        <v>-2</v>
      </c>
      <c r="I11" s="14"/>
    </row>
    <row r="12" spans="1:16" ht="18" customHeight="1" x14ac:dyDescent="0.45">
      <c r="A12" s="94" t="s">
        <v>39</v>
      </c>
      <c r="B12" s="81"/>
      <c r="C12" s="81"/>
      <c r="D12" s="81"/>
      <c r="E12" s="81"/>
      <c r="F12" s="81"/>
      <c r="G12" s="81"/>
      <c r="H12" s="81"/>
      <c r="I12" s="82"/>
    </row>
    <row r="13" spans="1:16" x14ac:dyDescent="0.45">
      <c r="A13" s="64" t="s">
        <v>89</v>
      </c>
      <c r="B13" s="65"/>
      <c r="C13" s="65"/>
      <c r="D13" s="65"/>
      <c r="E13" s="65"/>
      <c r="F13" s="65"/>
      <c r="G13" s="65"/>
      <c r="H13" s="65"/>
      <c r="I13" s="65"/>
    </row>
    <row r="14" spans="1:16" ht="34" customHeight="1" x14ac:dyDescent="0.45">
      <c r="A14" s="25">
        <v>6</v>
      </c>
      <c r="B14" s="7" t="s">
        <v>10</v>
      </c>
      <c r="C14" s="7" t="s">
        <v>28</v>
      </c>
      <c r="D14" s="9" t="s">
        <v>42</v>
      </c>
      <c r="E14" s="51" t="s">
        <v>116</v>
      </c>
      <c r="F14" s="62"/>
      <c r="G14" s="62">
        <v>-1</v>
      </c>
      <c r="H14" s="62">
        <v>-2</v>
      </c>
      <c r="I14" s="63" t="s">
        <v>117</v>
      </c>
    </row>
    <row r="15" spans="1:16" ht="34" customHeight="1" x14ac:dyDescent="0.45">
      <c r="A15" s="26">
        <v>7</v>
      </c>
      <c r="B15" s="2" t="s">
        <v>10</v>
      </c>
      <c r="C15" s="2" t="s">
        <v>28</v>
      </c>
      <c r="D15" s="9" t="s">
        <v>42</v>
      </c>
      <c r="E15" s="4" t="s">
        <v>11</v>
      </c>
      <c r="F15" s="2"/>
      <c r="G15" s="2">
        <v>-1</v>
      </c>
      <c r="H15" s="2">
        <v>-2</v>
      </c>
      <c r="I15" s="5"/>
    </row>
    <row r="16" spans="1:16" ht="34" customHeight="1" x14ac:dyDescent="0.45">
      <c r="A16" s="38">
        <v>8</v>
      </c>
      <c r="B16" s="39" t="s">
        <v>10</v>
      </c>
      <c r="C16" s="39" t="s">
        <v>28</v>
      </c>
      <c r="D16" s="40" t="s">
        <v>42</v>
      </c>
      <c r="E16" s="41" t="s">
        <v>49</v>
      </c>
      <c r="F16" s="39"/>
      <c r="G16" s="39">
        <v>-1</v>
      </c>
      <c r="H16" s="39">
        <v>-2</v>
      </c>
      <c r="I16" s="106" t="s">
        <v>125</v>
      </c>
    </row>
    <row r="17" spans="1:9" ht="34" customHeight="1" x14ac:dyDescent="0.45">
      <c r="A17" s="99" t="s">
        <v>36</v>
      </c>
      <c r="B17" s="81"/>
      <c r="C17" s="81"/>
      <c r="D17" s="81"/>
      <c r="E17" s="81"/>
      <c r="F17" s="81"/>
      <c r="G17" s="81"/>
      <c r="H17" s="81"/>
      <c r="I17" s="82"/>
    </row>
    <row r="18" spans="1:9" ht="34" customHeight="1" x14ac:dyDescent="0.45">
      <c r="A18" s="6">
        <v>9</v>
      </c>
      <c r="B18" s="7" t="s">
        <v>10</v>
      </c>
      <c r="C18" s="7" t="s">
        <v>28</v>
      </c>
      <c r="D18" s="3" t="s">
        <v>7</v>
      </c>
      <c r="E18" s="51" t="s">
        <v>144</v>
      </c>
      <c r="F18" s="7"/>
      <c r="G18" s="7">
        <v>-1</v>
      </c>
      <c r="H18" s="7">
        <v>-2</v>
      </c>
      <c r="I18" s="5"/>
    </row>
    <row r="19" spans="1:9" ht="34" customHeight="1" x14ac:dyDescent="0.45">
      <c r="A19" s="15">
        <v>10</v>
      </c>
      <c r="B19" s="16" t="s">
        <v>10</v>
      </c>
      <c r="C19" s="16" t="s">
        <v>29</v>
      </c>
      <c r="D19" s="12" t="s">
        <v>7</v>
      </c>
      <c r="E19" s="52" t="s">
        <v>129</v>
      </c>
      <c r="F19" s="16"/>
      <c r="G19" s="16">
        <v>-1</v>
      </c>
      <c r="H19" s="16">
        <v>-2</v>
      </c>
      <c r="I19" s="14"/>
    </row>
    <row r="20" spans="1:9" ht="34" customHeight="1" x14ac:dyDescent="0.45">
      <c r="A20" s="6">
        <v>11</v>
      </c>
      <c r="B20" s="7" t="s">
        <v>10</v>
      </c>
      <c r="C20" s="7" t="s">
        <v>28</v>
      </c>
      <c r="D20" s="3" t="s">
        <v>7</v>
      </c>
      <c r="E20" s="51" t="s">
        <v>128</v>
      </c>
      <c r="F20" s="7"/>
      <c r="G20" s="7">
        <v>-1</v>
      </c>
      <c r="H20" s="7">
        <v>-2</v>
      </c>
      <c r="I20" s="5"/>
    </row>
    <row r="21" spans="1:9" ht="34" customHeight="1" x14ac:dyDescent="0.45">
      <c r="A21" s="15">
        <v>12</v>
      </c>
      <c r="B21" s="16" t="s">
        <v>31</v>
      </c>
      <c r="C21" s="16" t="s">
        <v>29</v>
      </c>
      <c r="D21" s="12" t="s">
        <v>7</v>
      </c>
      <c r="E21" s="52" t="s">
        <v>130</v>
      </c>
      <c r="F21" s="16"/>
      <c r="G21" s="16">
        <v>-2</v>
      </c>
      <c r="H21" s="16">
        <v>-4</v>
      </c>
      <c r="I21" s="14"/>
    </row>
    <row r="22" spans="1:9" ht="34" customHeight="1" x14ac:dyDescent="0.45">
      <c r="A22" s="6">
        <v>13</v>
      </c>
      <c r="B22" s="7" t="s">
        <v>30</v>
      </c>
      <c r="C22" s="7" t="s">
        <v>29</v>
      </c>
      <c r="D22" s="3" t="s">
        <v>7</v>
      </c>
      <c r="E22" s="8" t="s">
        <v>131</v>
      </c>
      <c r="F22" s="7"/>
      <c r="G22" s="7">
        <v>-1</v>
      </c>
      <c r="H22" s="7">
        <v>-2</v>
      </c>
      <c r="I22" s="112" t="s">
        <v>132</v>
      </c>
    </row>
    <row r="23" spans="1:9" ht="34" customHeight="1" x14ac:dyDescent="0.45">
      <c r="A23" s="43">
        <v>14</v>
      </c>
      <c r="B23" s="44" t="s">
        <v>30</v>
      </c>
      <c r="C23" s="44" t="s">
        <v>29</v>
      </c>
      <c r="D23" s="45" t="s">
        <v>7</v>
      </c>
      <c r="E23" s="113" t="s">
        <v>133</v>
      </c>
      <c r="F23" s="44"/>
      <c r="G23" s="44">
        <v>-1</v>
      </c>
      <c r="H23" s="44">
        <v>-2</v>
      </c>
      <c r="I23" s="46"/>
    </row>
    <row r="24" spans="1:9" ht="34" customHeight="1" x14ac:dyDescent="0.45">
      <c r="A24" s="88" t="s">
        <v>37</v>
      </c>
      <c r="B24" s="81"/>
      <c r="C24" s="81"/>
      <c r="D24" s="81"/>
      <c r="E24" s="81"/>
      <c r="F24" s="81"/>
      <c r="G24" s="81"/>
      <c r="H24" s="81"/>
      <c r="I24" s="82"/>
    </row>
    <row r="25" spans="1:9" ht="34" customHeight="1" x14ac:dyDescent="0.45">
      <c r="A25" s="15">
        <v>15</v>
      </c>
      <c r="B25" s="16" t="s">
        <v>103</v>
      </c>
      <c r="C25" s="16" t="s">
        <v>29</v>
      </c>
      <c r="D25" s="12" t="s">
        <v>7</v>
      </c>
      <c r="E25" s="52" t="s">
        <v>134</v>
      </c>
      <c r="F25" s="16"/>
      <c r="G25" s="16">
        <v>-2</v>
      </c>
      <c r="H25" s="16">
        <v>-4</v>
      </c>
      <c r="I25" s="14"/>
    </row>
    <row r="26" spans="1:9" ht="34" customHeight="1" x14ac:dyDescent="0.45">
      <c r="A26" s="6">
        <v>16</v>
      </c>
      <c r="B26" s="7" t="s">
        <v>12</v>
      </c>
      <c r="C26" s="7" t="s">
        <v>29</v>
      </c>
      <c r="D26" s="3" t="s">
        <v>7</v>
      </c>
      <c r="E26" s="8" t="s">
        <v>107</v>
      </c>
      <c r="F26" s="7"/>
      <c r="G26" s="7">
        <v>-2</v>
      </c>
      <c r="H26" s="7">
        <v>-4</v>
      </c>
      <c r="I26" s="112" t="s">
        <v>135</v>
      </c>
    </row>
    <row r="27" spans="1:9" ht="34" customHeight="1" x14ac:dyDescent="0.45">
      <c r="A27" s="15">
        <v>17</v>
      </c>
      <c r="B27" s="16" t="s">
        <v>103</v>
      </c>
      <c r="C27" s="16" t="s">
        <v>29</v>
      </c>
      <c r="D27" s="12" t="s">
        <v>7</v>
      </c>
      <c r="E27" s="52" t="s">
        <v>138</v>
      </c>
      <c r="F27" s="16"/>
      <c r="G27" s="16">
        <v>-2</v>
      </c>
      <c r="H27" s="16">
        <v>-4</v>
      </c>
      <c r="I27" s="14"/>
    </row>
    <row r="28" spans="1:9" ht="34" customHeight="1" x14ac:dyDescent="0.45">
      <c r="A28" s="6">
        <v>18</v>
      </c>
      <c r="B28" s="7" t="s">
        <v>12</v>
      </c>
      <c r="C28" s="7" t="s">
        <v>29</v>
      </c>
      <c r="D28" s="3" t="s">
        <v>7</v>
      </c>
      <c r="E28" s="51" t="s">
        <v>139</v>
      </c>
      <c r="F28" s="7"/>
      <c r="G28" s="7">
        <v>-2</v>
      </c>
      <c r="H28" s="7">
        <v>-4</v>
      </c>
      <c r="I28" s="114" t="s">
        <v>136</v>
      </c>
    </row>
    <row r="29" spans="1:9" ht="34" customHeight="1" x14ac:dyDescent="0.45">
      <c r="A29" s="15">
        <v>19</v>
      </c>
      <c r="B29" s="16" t="s">
        <v>103</v>
      </c>
      <c r="C29" s="16" t="s">
        <v>29</v>
      </c>
      <c r="D29" s="12" t="s">
        <v>7</v>
      </c>
      <c r="E29" s="52" t="s">
        <v>137</v>
      </c>
      <c r="F29" s="16"/>
      <c r="G29" s="16">
        <v>-2</v>
      </c>
      <c r="H29" s="16">
        <v>-4</v>
      </c>
      <c r="I29" s="114" t="s">
        <v>136</v>
      </c>
    </row>
    <row r="30" spans="1:9" ht="34" customHeight="1" x14ac:dyDescent="0.45">
      <c r="A30" s="6">
        <v>20</v>
      </c>
      <c r="B30" s="7" t="s">
        <v>12</v>
      </c>
      <c r="C30" s="7" t="s">
        <v>29</v>
      </c>
      <c r="D30" s="3" t="s">
        <v>7</v>
      </c>
      <c r="E30" s="51" t="s">
        <v>140</v>
      </c>
      <c r="F30" s="7"/>
      <c r="G30" s="7">
        <v>-2</v>
      </c>
      <c r="H30" s="7">
        <v>-4</v>
      </c>
      <c r="I30" s="114" t="s">
        <v>136</v>
      </c>
    </row>
    <row r="31" spans="1:9" ht="34" customHeight="1" x14ac:dyDescent="0.45">
      <c r="A31" s="15">
        <f t="shared" ref="A31:A33" si="0">A30+1</f>
        <v>21</v>
      </c>
      <c r="B31" s="16" t="s">
        <v>103</v>
      </c>
      <c r="C31" s="16" t="s">
        <v>29</v>
      </c>
      <c r="D31" s="12" t="s">
        <v>7</v>
      </c>
      <c r="E31" s="52" t="s">
        <v>141</v>
      </c>
      <c r="F31" s="16"/>
      <c r="G31" s="16">
        <v>-2</v>
      </c>
      <c r="H31" s="16">
        <v>-4</v>
      </c>
      <c r="I31" s="114" t="s">
        <v>136</v>
      </c>
    </row>
    <row r="32" spans="1:9" ht="34" customHeight="1" x14ac:dyDescent="0.45">
      <c r="A32" s="6">
        <f>A31+1</f>
        <v>22</v>
      </c>
      <c r="B32" s="7" t="s">
        <v>103</v>
      </c>
      <c r="C32" s="7" t="s">
        <v>29</v>
      </c>
      <c r="D32" s="3" t="s">
        <v>7</v>
      </c>
      <c r="E32" s="51" t="s">
        <v>142</v>
      </c>
      <c r="F32" s="7"/>
      <c r="G32" s="7">
        <v>-2</v>
      </c>
      <c r="H32" s="7">
        <v>-4</v>
      </c>
      <c r="I32" s="114" t="s">
        <v>136</v>
      </c>
    </row>
    <row r="33" spans="1:9" ht="34" customHeight="1" x14ac:dyDescent="0.45">
      <c r="A33" s="15">
        <f t="shared" si="0"/>
        <v>23</v>
      </c>
      <c r="B33" s="16" t="s">
        <v>103</v>
      </c>
      <c r="C33" s="16" t="s">
        <v>29</v>
      </c>
      <c r="D33" s="12" t="s">
        <v>7</v>
      </c>
      <c r="E33" s="52" t="s">
        <v>101</v>
      </c>
      <c r="F33" s="16"/>
      <c r="G33" s="16">
        <v>-2</v>
      </c>
      <c r="H33" s="16">
        <v>-4</v>
      </c>
      <c r="I33" s="114" t="s">
        <v>136</v>
      </c>
    </row>
    <row r="34" spans="1:9" ht="34" customHeight="1" x14ac:dyDescent="0.45">
      <c r="A34" s="80" t="s">
        <v>40</v>
      </c>
      <c r="B34" s="81"/>
      <c r="C34" s="81"/>
      <c r="D34" s="81"/>
      <c r="E34" s="81"/>
      <c r="F34" s="81"/>
      <c r="G34" s="81"/>
      <c r="H34" s="81"/>
      <c r="I34" s="82"/>
    </row>
    <row r="35" spans="1:9" ht="34" customHeight="1" x14ac:dyDescent="0.45">
      <c r="A35" s="1">
        <v>24</v>
      </c>
      <c r="B35" s="2" t="s">
        <v>32</v>
      </c>
      <c r="C35" s="2" t="s">
        <v>29</v>
      </c>
      <c r="D35" s="3" t="s">
        <v>7</v>
      </c>
      <c r="E35" s="4" t="s">
        <v>45</v>
      </c>
      <c r="F35" s="2"/>
      <c r="G35" s="2">
        <v>-1</v>
      </c>
      <c r="H35" s="2">
        <v>-2</v>
      </c>
      <c r="I35" s="5"/>
    </row>
    <row r="36" spans="1:9" ht="34" customHeight="1" x14ac:dyDescent="0.45">
      <c r="A36" s="6">
        <v>25</v>
      </c>
      <c r="B36" s="7" t="s">
        <v>32</v>
      </c>
      <c r="C36" s="7" t="s">
        <v>29</v>
      </c>
      <c r="D36" s="3" t="s">
        <v>7</v>
      </c>
      <c r="E36" s="8" t="s">
        <v>43</v>
      </c>
      <c r="F36" s="7"/>
      <c r="G36" s="7">
        <v>-1</v>
      </c>
      <c r="H36" s="7">
        <v>-2</v>
      </c>
      <c r="I36" s="5"/>
    </row>
    <row r="37" spans="1:9" ht="34" customHeight="1" x14ac:dyDescent="0.45">
      <c r="A37" s="1">
        <v>26</v>
      </c>
      <c r="B37" s="2" t="s">
        <v>33</v>
      </c>
      <c r="C37" s="2" t="s">
        <v>29</v>
      </c>
      <c r="D37" s="3" t="s">
        <v>7</v>
      </c>
      <c r="E37" s="4" t="s">
        <v>143</v>
      </c>
      <c r="F37" s="2"/>
      <c r="G37" s="2">
        <v>-1</v>
      </c>
      <c r="H37" s="2">
        <v>-2</v>
      </c>
      <c r="I37" s="5"/>
    </row>
    <row r="38" spans="1:9" ht="34" customHeight="1" x14ac:dyDescent="0.45">
      <c r="A38" s="99" t="s">
        <v>50</v>
      </c>
      <c r="B38" s="81"/>
      <c r="C38" s="81"/>
      <c r="D38" s="81"/>
      <c r="E38" s="81"/>
      <c r="F38" s="81"/>
      <c r="G38" s="81"/>
      <c r="H38" s="81"/>
      <c r="I38" s="82"/>
    </row>
    <row r="39" spans="1:9" ht="34" customHeight="1" x14ac:dyDescent="0.45">
      <c r="A39" s="1">
        <v>27</v>
      </c>
      <c r="B39" s="2" t="s">
        <v>13</v>
      </c>
      <c r="C39" s="2" t="s">
        <v>29</v>
      </c>
      <c r="D39" s="3" t="s">
        <v>7</v>
      </c>
      <c r="E39" s="4" t="s">
        <v>51</v>
      </c>
      <c r="F39" s="2"/>
      <c r="G39" s="2">
        <v>-1</v>
      </c>
      <c r="H39" s="2">
        <v>-2</v>
      </c>
      <c r="I39" s="5"/>
    </row>
    <row r="40" spans="1:9" ht="34" customHeight="1" x14ac:dyDescent="0.45">
      <c r="A40" s="6">
        <f>A39+1</f>
        <v>28</v>
      </c>
      <c r="B40" s="7" t="s">
        <v>13</v>
      </c>
      <c r="C40" s="7" t="s">
        <v>29</v>
      </c>
      <c r="D40" s="3" t="s">
        <v>7</v>
      </c>
      <c r="E40" s="8" t="s">
        <v>15</v>
      </c>
      <c r="F40" s="7"/>
      <c r="G40" s="7">
        <v>-1</v>
      </c>
      <c r="H40" s="7">
        <v>-2</v>
      </c>
      <c r="I40" s="5"/>
    </row>
    <row r="41" spans="1:9" ht="34" customHeight="1" x14ac:dyDescent="0.45">
      <c r="A41" s="1">
        <v>29</v>
      </c>
      <c r="B41" s="2" t="s">
        <v>14</v>
      </c>
      <c r="C41" s="2" t="s">
        <v>29</v>
      </c>
      <c r="D41" s="3" t="s">
        <v>7</v>
      </c>
      <c r="E41" s="4" t="s">
        <v>52</v>
      </c>
      <c r="F41" s="2"/>
      <c r="G41" s="2">
        <v>-2</v>
      </c>
      <c r="H41" s="2">
        <v>-4</v>
      </c>
      <c r="I41" s="53" t="s">
        <v>78</v>
      </c>
    </row>
    <row r="42" spans="1:9" ht="34" customHeight="1" x14ac:dyDescent="0.45">
      <c r="A42" s="83" t="s">
        <v>44</v>
      </c>
      <c r="B42" s="81"/>
      <c r="C42" s="81"/>
      <c r="D42" s="81"/>
      <c r="E42" s="81"/>
      <c r="F42" s="81"/>
      <c r="G42" s="81"/>
      <c r="H42" s="81"/>
      <c r="I42" s="82"/>
    </row>
    <row r="43" spans="1:9" ht="34" customHeight="1" x14ac:dyDescent="0.45">
      <c r="A43" s="6">
        <v>30</v>
      </c>
      <c r="B43" s="7" t="s">
        <v>34</v>
      </c>
      <c r="C43" s="7" t="s">
        <v>29</v>
      </c>
      <c r="D43" s="3" t="s">
        <v>7</v>
      </c>
      <c r="E43" s="8" t="s">
        <v>102</v>
      </c>
      <c r="F43" s="7"/>
      <c r="G43" s="7">
        <v>-1</v>
      </c>
      <c r="H43" s="7">
        <v>-2</v>
      </c>
      <c r="I43" s="5"/>
    </row>
    <row r="44" spans="1:9" ht="34" customHeight="1" x14ac:dyDescent="0.45">
      <c r="A44" s="47">
        <v>31</v>
      </c>
      <c r="B44" s="48" t="s">
        <v>34</v>
      </c>
      <c r="C44" s="48" t="s">
        <v>29</v>
      </c>
      <c r="D44" s="49" t="s">
        <v>7</v>
      </c>
      <c r="E44" s="50" t="s">
        <v>104</v>
      </c>
      <c r="F44" s="48"/>
      <c r="G44" s="48">
        <v>-1</v>
      </c>
      <c r="H44" s="48">
        <v>-2</v>
      </c>
      <c r="I44" s="42"/>
    </row>
    <row r="45" spans="1:9" ht="34" customHeight="1" x14ac:dyDescent="0.45">
      <c r="A45" s="96" t="s">
        <v>41</v>
      </c>
      <c r="B45" s="97"/>
      <c r="C45" s="97"/>
      <c r="D45" s="97"/>
      <c r="E45" s="97"/>
      <c r="F45" s="97"/>
      <c r="G45" s="97"/>
      <c r="H45" s="97"/>
      <c r="I45" s="98"/>
    </row>
    <row r="46" spans="1:9" ht="34" customHeight="1" x14ac:dyDescent="0.45">
      <c r="A46" s="10">
        <f>A44+1</f>
        <v>32</v>
      </c>
      <c r="B46" s="11" t="s">
        <v>16</v>
      </c>
      <c r="C46" s="11" t="s">
        <v>28</v>
      </c>
      <c r="D46" s="12" t="s">
        <v>7</v>
      </c>
      <c r="E46" s="13" t="s">
        <v>17</v>
      </c>
      <c r="F46" s="11"/>
      <c r="G46" s="11">
        <v>-1</v>
      </c>
      <c r="H46" s="11">
        <v>-2</v>
      </c>
      <c r="I46" s="14"/>
    </row>
    <row r="47" spans="1:9" ht="34" customHeight="1" x14ac:dyDescent="0.45">
      <c r="A47" s="1">
        <f>A46+1</f>
        <v>33</v>
      </c>
      <c r="B47" s="2" t="s">
        <v>16</v>
      </c>
      <c r="C47" s="2" t="s">
        <v>28</v>
      </c>
      <c r="D47" s="3" t="s">
        <v>7</v>
      </c>
      <c r="E47" s="4" t="s">
        <v>18</v>
      </c>
      <c r="F47" s="2"/>
      <c r="G47" s="2">
        <v>-1</v>
      </c>
      <c r="H47" s="2">
        <v>-2</v>
      </c>
      <c r="I47" s="5"/>
    </row>
    <row r="48" spans="1:9" ht="34" customHeight="1" x14ac:dyDescent="0.45">
      <c r="A48" s="10">
        <f>A47+1</f>
        <v>34</v>
      </c>
      <c r="B48" s="7" t="s">
        <v>16</v>
      </c>
      <c r="C48" s="7" t="s">
        <v>28</v>
      </c>
      <c r="D48" s="3" t="s">
        <v>7</v>
      </c>
      <c r="E48" s="8" t="s">
        <v>19</v>
      </c>
      <c r="F48" s="7"/>
      <c r="G48" s="7">
        <v>-1</v>
      </c>
      <c r="H48" s="7">
        <v>-2</v>
      </c>
      <c r="I48" s="5"/>
    </row>
    <row r="49" spans="1:9" ht="34" customHeight="1" x14ac:dyDescent="0.45">
      <c r="A49" s="1">
        <f>A48+1</f>
        <v>35</v>
      </c>
      <c r="B49" s="2" t="s">
        <v>16</v>
      </c>
      <c r="C49" s="2" t="s">
        <v>28</v>
      </c>
      <c r="D49" s="3" t="s">
        <v>7</v>
      </c>
      <c r="E49" s="4" t="s">
        <v>20</v>
      </c>
      <c r="F49" s="2"/>
      <c r="G49" s="2">
        <v>-1</v>
      </c>
      <c r="H49" s="2">
        <v>-2</v>
      </c>
      <c r="I49" s="5"/>
    </row>
    <row r="50" spans="1:9" ht="17.399999999999999" customHeight="1" x14ac:dyDescent="0.45">
      <c r="A50" s="84" t="s">
        <v>21</v>
      </c>
      <c r="B50" s="85"/>
      <c r="C50" s="85"/>
      <c r="D50" s="85"/>
      <c r="E50" s="85"/>
      <c r="F50" s="36"/>
      <c r="G50" s="36">
        <f>SUM(G46:G49,G43:G44,G39:G41,G35:G37,G25:G33,G18:G23,G14:G16,G7:G11)</f>
        <v>-50</v>
      </c>
      <c r="H50" s="36">
        <f>SUM(H46:H49,H43:H44,H39:H41,H35:H37,H25:H33,H18:H23,H14:H16,H7:H11)</f>
        <v>-100</v>
      </c>
      <c r="I50" s="37"/>
    </row>
    <row r="51" spans="1:9" ht="20" customHeight="1" x14ac:dyDescent="0.45"/>
    <row r="52" spans="1:9" ht="20" customHeight="1" x14ac:dyDescent="0.45">
      <c r="A52" s="93" t="s">
        <v>22</v>
      </c>
      <c r="B52" s="78"/>
      <c r="C52" s="79" t="s">
        <v>76</v>
      </c>
      <c r="D52" s="78"/>
      <c r="E52" s="78"/>
      <c r="F52" s="78"/>
      <c r="G52" s="78"/>
      <c r="H52" s="78"/>
      <c r="I52" s="78"/>
    </row>
    <row r="53" spans="1:9" ht="20" customHeight="1" x14ac:dyDescent="0.45">
      <c r="A53" s="95" t="s">
        <v>23</v>
      </c>
      <c r="B53" s="78"/>
      <c r="C53" s="77" t="s">
        <v>68</v>
      </c>
      <c r="D53" s="78"/>
      <c r="E53" s="78"/>
      <c r="F53" s="78"/>
      <c r="G53" s="78"/>
      <c r="H53" s="78"/>
      <c r="I53" s="78"/>
    </row>
    <row r="54" spans="1:9" ht="20" hidden="1" customHeight="1" x14ac:dyDescent="0.45">
      <c r="A54" s="86" t="s">
        <v>24</v>
      </c>
      <c r="B54" s="78"/>
      <c r="C54" s="87" t="s">
        <v>25</v>
      </c>
      <c r="D54" s="78"/>
      <c r="E54" s="78"/>
      <c r="F54" s="78"/>
      <c r="G54" s="78"/>
      <c r="H54" s="78"/>
      <c r="I54" s="78"/>
    </row>
    <row r="55" spans="1:9" hidden="1" x14ac:dyDescent="0.45">
      <c r="A55" s="91" t="s">
        <v>26</v>
      </c>
      <c r="B55" s="78"/>
      <c r="C55" s="92" t="s">
        <v>48</v>
      </c>
      <c r="D55" s="78"/>
      <c r="E55" s="78"/>
      <c r="F55" s="78"/>
      <c r="G55" s="78"/>
      <c r="H55" s="78"/>
      <c r="I55" s="78"/>
    </row>
    <row r="56" spans="1:9" hidden="1" x14ac:dyDescent="0.45">
      <c r="A56" s="91" t="s">
        <v>97</v>
      </c>
      <c r="B56" s="78"/>
      <c r="C56" s="92" t="s">
        <v>98</v>
      </c>
      <c r="D56" s="78"/>
      <c r="E56" s="78"/>
      <c r="F56" s="78"/>
      <c r="G56" s="78"/>
      <c r="H56" s="78"/>
      <c r="I56" s="78"/>
    </row>
    <row r="57" spans="1:9" ht="20" hidden="1" customHeight="1" x14ac:dyDescent="0.45">
      <c r="A57" s="86" t="s">
        <v>99</v>
      </c>
      <c r="B57" s="78"/>
      <c r="C57" s="87" t="s">
        <v>100</v>
      </c>
      <c r="D57" s="78"/>
      <c r="E57" s="78"/>
      <c r="F57" s="78"/>
      <c r="G57" s="78"/>
      <c r="H57" s="78"/>
      <c r="I57" s="78"/>
    </row>
  </sheetData>
  <mergeCells count="28">
    <mergeCell ref="A57:B57"/>
    <mergeCell ref="C57:I57"/>
    <mergeCell ref="A24:I24"/>
    <mergeCell ref="A6:D6"/>
    <mergeCell ref="A56:B56"/>
    <mergeCell ref="C56:I56"/>
    <mergeCell ref="C55:I55"/>
    <mergeCell ref="A52:B52"/>
    <mergeCell ref="A12:I12"/>
    <mergeCell ref="A55:B55"/>
    <mergeCell ref="A54:B54"/>
    <mergeCell ref="C54:I54"/>
    <mergeCell ref="A53:B53"/>
    <mergeCell ref="A45:I45"/>
    <mergeCell ref="A38:I38"/>
    <mergeCell ref="A17:I17"/>
    <mergeCell ref="C53:I53"/>
    <mergeCell ref="C52:I52"/>
    <mergeCell ref="A34:I34"/>
    <mergeCell ref="A42:I42"/>
    <mergeCell ref="A50:E50"/>
    <mergeCell ref="A13:I13"/>
    <mergeCell ref="A3:F3"/>
    <mergeCell ref="A2:I2"/>
    <mergeCell ref="A1:I1"/>
    <mergeCell ref="G3:I3"/>
    <mergeCell ref="A4:F4"/>
    <mergeCell ref="G4:I4"/>
  </mergeCells>
  <phoneticPr fontId="16" type="noConversion"/>
  <pageMargins left="0.25" right="0.25" top="0.75" bottom="0.75" header="0.3" footer="0.3"/>
  <pageSetup paperSize="8" fitToHeight="0" orientation="landscape" r:id="rId1"/>
  <rowBreaks count="2" manualBreakCount="2">
    <brk id="16" max="16383" man="1"/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="85" zoomScaleNormal="85" workbookViewId="0">
      <selection activeCell="A14" sqref="A14:D14"/>
    </sheetView>
  </sheetViews>
  <sheetFormatPr defaultRowHeight="17" x14ac:dyDescent="0.45"/>
  <cols>
    <col min="1" max="1" width="8.08203125" customWidth="1"/>
    <col min="2" max="2" width="9.33203125" bestFit="1" customWidth="1"/>
    <col min="3" max="3" width="59.5" customWidth="1"/>
  </cols>
  <sheetData>
    <row r="1" spans="1:4" ht="32" customHeight="1" x14ac:dyDescent="0.45">
      <c r="A1" s="102" t="s">
        <v>67</v>
      </c>
      <c r="B1" s="103"/>
      <c r="C1" s="103"/>
      <c r="D1" s="103"/>
    </row>
    <row r="2" spans="1:4" ht="22" customHeight="1" thickBot="1" x14ac:dyDescent="0.5">
      <c r="A2" s="104" t="s">
        <v>77</v>
      </c>
      <c r="B2" s="105"/>
      <c r="C2" s="105"/>
      <c r="D2" s="105"/>
    </row>
    <row r="3" spans="1:4" ht="22" customHeight="1" thickBot="1" x14ac:dyDescent="0.5">
      <c r="A3" s="27" t="s">
        <v>0</v>
      </c>
      <c r="B3" s="27" t="s">
        <v>53</v>
      </c>
      <c r="C3" s="28" t="s">
        <v>54</v>
      </c>
      <c r="D3" s="27" t="s">
        <v>66</v>
      </c>
    </row>
    <row r="4" spans="1:4" ht="28" customHeight="1" x14ac:dyDescent="0.45">
      <c r="A4" s="29" t="s">
        <v>55</v>
      </c>
      <c r="B4" s="33" t="s">
        <v>81</v>
      </c>
      <c r="C4" s="30" t="s">
        <v>82</v>
      </c>
      <c r="D4" s="30"/>
    </row>
    <row r="5" spans="1:4" ht="34" customHeight="1" x14ac:dyDescent="0.45">
      <c r="A5" s="29" t="s">
        <v>57</v>
      </c>
      <c r="B5" s="32" t="s">
        <v>56</v>
      </c>
      <c r="C5" s="31" t="s">
        <v>83</v>
      </c>
      <c r="D5" s="31"/>
    </row>
    <row r="6" spans="1:4" ht="34" customHeight="1" x14ac:dyDescent="0.45">
      <c r="A6" s="29" t="s">
        <v>58</v>
      </c>
      <c r="B6" s="33" t="s">
        <v>90</v>
      </c>
      <c r="C6" s="30" t="s">
        <v>84</v>
      </c>
      <c r="D6" s="30"/>
    </row>
    <row r="7" spans="1:4" ht="34" customHeight="1" x14ac:dyDescent="0.45">
      <c r="A7" s="29" t="s">
        <v>59</v>
      </c>
      <c r="B7" s="32" t="s">
        <v>74</v>
      </c>
      <c r="C7" s="31" t="s">
        <v>106</v>
      </c>
      <c r="D7" s="31"/>
    </row>
    <row r="8" spans="1:4" ht="34" customHeight="1" x14ac:dyDescent="0.45">
      <c r="A8" s="29" t="s">
        <v>60</v>
      </c>
      <c r="B8" s="33" t="s">
        <v>91</v>
      </c>
      <c r="C8" s="30" t="s">
        <v>105</v>
      </c>
      <c r="D8" s="30"/>
    </row>
    <row r="9" spans="1:4" ht="34" customHeight="1" x14ac:dyDescent="0.45">
      <c r="A9" s="29" t="s">
        <v>61</v>
      </c>
      <c r="B9" s="32" t="s">
        <v>73</v>
      </c>
      <c r="C9" s="31" t="s">
        <v>72</v>
      </c>
      <c r="D9" s="31"/>
    </row>
    <row r="10" spans="1:4" ht="34" customHeight="1" x14ac:dyDescent="0.45">
      <c r="A10" s="29" t="s">
        <v>62</v>
      </c>
      <c r="B10" s="33" t="s">
        <v>95</v>
      </c>
      <c r="C10" s="30" t="s">
        <v>85</v>
      </c>
      <c r="D10" s="30"/>
    </row>
    <row r="11" spans="1:4" ht="34" customHeight="1" x14ac:dyDescent="0.45">
      <c r="A11" s="29" t="s">
        <v>63</v>
      </c>
      <c r="B11" s="32" t="s">
        <v>75</v>
      </c>
      <c r="C11" s="31" t="s">
        <v>92</v>
      </c>
      <c r="D11" s="31"/>
    </row>
    <row r="12" spans="1:4" ht="34" customHeight="1" x14ac:dyDescent="0.45">
      <c r="A12" s="29" t="s">
        <v>64</v>
      </c>
      <c r="B12" s="33" t="s">
        <v>94</v>
      </c>
      <c r="C12" s="30" t="s">
        <v>86</v>
      </c>
      <c r="D12" s="30"/>
    </row>
    <row r="13" spans="1:4" ht="34" customHeight="1" x14ac:dyDescent="0.45">
      <c r="A13" s="29" t="s">
        <v>65</v>
      </c>
      <c r="B13" s="32" t="s">
        <v>96</v>
      </c>
      <c r="C13" s="31" t="s">
        <v>93</v>
      </c>
      <c r="D13" s="31"/>
    </row>
    <row r="14" spans="1:4" ht="34" customHeight="1" x14ac:dyDescent="0.45">
      <c r="A14" s="100" t="s">
        <v>109</v>
      </c>
      <c r="B14" s="101"/>
      <c r="C14" s="101"/>
      <c r="D14" s="101"/>
    </row>
  </sheetData>
  <mergeCells count="3">
    <mergeCell ref="A14:D14"/>
    <mergeCell ref="A1:D1"/>
    <mergeCell ref="A2:D2"/>
  </mergeCells>
  <phoneticPr fontId="16" type="noConversion"/>
  <pageMargins left="0.75" right="0.75" top="1" bottom="1" header="0.5" footer="0.5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0E3C-C477-45FB-9748-4B16CC25765A}">
  <dimension ref="B3:B4"/>
  <sheetViews>
    <sheetView workbookViewId="0">
      <selection activeCell="B4" sqref="B4"/>
    </sheetView>
  </sheetViews>
  <sheetFormatPr defaultRowHeight="17" x14ac:dyDescent="0.45"/>
  <sheetData>
    <row r="3" spans="2:2" x14ac:dyDescent="0.45">
      <c r="B3" s="56" t="s">
        <v>111</v>
      </c>
    </row>
    <row r="4" spans="2:2" x14ac:dyDescent="0.45">
      <c r="B4" s="56" t="s">
        <v>112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고반식당_MOT</vt:lpstr>
      <vt:lpstr>❌ 절대 금지 10계명</vt:lpstr>
      <vt:lpstr>맛있게먹는법</vt:lpstr>
      <vt:lpstr>고반식당_MOT!Print_Area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아름</cp:lastModifiedBy>
  <cp:lastPrinted>2026-06-26T06:49:33Z</cp:lastPrinted>
  <dcterms:created xsi:type="dcterms:W3CDTF">2026-05-28T09:06:09Z</dcterms:created>
  <dcterms:modified xsi:type="dcterms:W3CDTF">2026-07-01T11:03:11Z</dcterms:modified>
</cp:coreProperties>
</file>